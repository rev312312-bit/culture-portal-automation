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자동화선정" sheetId="2" state="visible" r:id="rId4"/>
    <sheet name="추적표" sheetId="3" state="visible" r:id="rId5"/>
    <sheet name="API응답필드" sheetId="4" state="visible" r:id="rId6"/>
    <sheet name="관찰사항" sheetId="5" state="visible" r:id="rId7"/>
  </sheets>
  <definedNames>
    <definedName function="false" hidden="true" localSheetId="3" name="_xlnm._FilterDatabase" vbProcedure="false">API응답필드!$A$1:$D$28</definedName>
    <definedName function="false" hidden="true" localSheetId="4" name="_xlnm._FilterDatabase" vbProcedure="false">관찰사항!$A$1:$H$4</definedName>
    <definedName function="false" hidden="true" localSheetId="1" name="_xlnm._FilterDatabase" vbProcedure="false">자동화선정!$A$1:$I$41</definedName>
    <definedName function="false" hidden="true" localSheetId="2" name="_xlnm._FilterDatabase" vbProcedure="false">추적표!$A$1:$M$32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<sst xmlns="http://schemas.openxmlformats.org/spreadsheetml/2006/main" count="939" uniqueCount="431">
  <si>
    <t xml:space="preserve">문화포털 자동화 테스트 — 요약</t>
  </si>
  <si>
    <r>
      <rPr>
        <i val="true"/>
        <sz val="9"/>
        <color rgb="FF595959"/>
        <rFont val="Noto Sans CJK SC"/>
        <family val="2"/>
      </rPr>
      <t xml:space="preserve">모든 수치는 수식으로 자동 집계됨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입력은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추적표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시트의 실행결과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노란 칸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만 수정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</si>
  <si>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구분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</si>
  <si>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주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</si>
  <si>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주</t>
    </r>
  </si>
  <si>
    <t xml:space="preserve">합계</t>
  </si>
  <si>
    <t xml:space="preserve">Smoke</t>
  </si>
  <si>
    <t xml:space="preserve">Pass</t>
  </si>
  <si>
    <t xml:space="preserve">Fail</t>
  </si>
  <si>
    <t xml:space="preserve">XFAIL</t>
  </si>
  <si>
    <t xml:space="preserve">미실행</t>
  </si>
  <si>
    <t xml:space="preserve">UI</t>
  </si>
  <si>
    <t xml:space="preserve">API</t>
  </si>
  <si>
    <r>
      <rPr>
        <b val="true"/>
        <sz val="10"/>
        <rFont val="Noto Sans CJK SC"/>
        <family val="2"/>
      </rPr>
      <t xml:space="preserve">수동 </t>
    </r>
    <r>
      <rPr>
        <b val="true"/>
        <sz val="10"/>
        <rFont val="Arial"/>
        <family val="0"/>
        <charset val="1"/>
      </rPr>
      <t xml:space="preserve">TC </t>
    </r>
    <r>
      <rPr>
        <b val="true"/>
        <sz val="10"/>
        <rFont val="Noto Sans CJK SC"/>
        <family val="2"/>
      </rPr>
      <t xml:space="preserve">자동화 판정</t>
    </r>
  </si>
  <si>
    <t xml:space="preserve">판정</t>
  </si>
  <si>
    <t xml:space="preserve">건수</t>
  </si>
  <si>
    <t xml:space="preserve">자동화</t>
  </si>
  <si>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로 대체</t>
    </r>
  </si>
  <si>
    <t xml:space="preserve">후순위</t>
  </si>
  <si>
    <t xml:space="preserve">제외</t>
  </si>
  <si>
    <t xml:space="preserve">자동화 선정 기준</t>
  </si>
  <si>
    <r>
      <rPr>
        <sz val="9"/>
        <rFont val="Noto Sans CJK SC"/>
        <family val="2"/>
      </rPr>
      <t xml:space="preserve">• 기대결과를 코드로 객관적으로 판정할 수 있음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문구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상태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건수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연월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</si>
  <si>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• 반복 실행 가치가 큼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핵심 흐름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이미 보고된 결함의 회귀 확인</t>
    </r>
  </si>
  <si>
    <r>
      <rPr>
        <sz val="9"/>
        <rFont val="Noto Sans CJK SC"/>
        <family val="2"/>
      </rPr>
      <t xml:space="preserve">• 수동보다 재현성이 높아짐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위치 정보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권한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반경처럼 코드로 고정 가능한 조건</t>
    </r>
  </si>
  <si>
    <r>
      <rPr>
        <sz val="9"/>
        <rFont val="Noto Sans CJK SC"/>
        <family val="2"/>
      </rPr>
      <t xml:space="preserve">• 제외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시각 판정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지도 그래픽</t>
    </r>
    <r>
      <rPr>
        <sz val="9"/>
        <rFont val="Arial"/>
        <family val="0"/>
        <charset val="1"/>
      </rPr>
      <t xml:space="preserve">), </t>
    </r>
    <r>
      <rPr>
        <sz val="9"/>
        <rFont val="Noto Sans CJK SC"/>
        <family val="2"/>
      </rPr>
      <t xml:space="preserve">외부 사이트 의존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같은 기능의 중복 화면</t>
    </r>
  </si>
  <si>
    <r>
      <rPr>
        <sz val="9"/>
        <rFont val="Noto Sans CJK SC"/>
        <family val="2"/>
      </rPr>
      <t xml:space="preserve">• 기대결과는 명사형 어미로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제목은 </t>
    </r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구분</t>
    </r>
    <r>
      <rPr>
        <sz val="9"/>
        <rFont val="Arial"/>
        <family val="0"/>
        <charset val="1"/>
      </rPr>
      <t xml:space="preserve">][</t>
    </r>
    <r>
      <rPr>
        <sz val="9"/>
        <rFont val="Noto Sans CJK SC"/>
        <family val="2"/>
      </rPr>
      <t xml:space="preserve">기능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형식으로 작성해 정렬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통계가 가능하게 함</t>
    </r>
  </si>
  <si>
    <r>
      <rPr>
        <b val="true"/>
        <sz val="10"/>
        <color rgb="FFFFFFFF"/>
        <rFont val="Noto Sans CJK SC"/>
        <family val="2"/>
      </rPr>
      <t xml:space="preserve">수동 </t>
    </r>
    <r>
      <rPr>
        <b val="true"/>
        <sz val="10"/>
        <color rgb="FFFFFFFF"/>
        <rFont val="Arial"/>
        <family val="0"/>
        <charset val="1"/>
      </rPr>
      <t xml:space="preserve">TC ID</t>
    </r>
  </si>
  <si>
    <r>
      <rPr>
        <b val="true"/>
        <sz val="10"/>
        <color rgb="FFFFFFFF"/>
        <rFont val="Noto Sans CJK SC"/>
        <family val="2"/>
      </rPr>
      <t xml:space="preserve">화면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중분류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</si>
  <si>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수동 </t>
    </r>
    <r>
      <rPr>
        <b val="true"/>
        <sz val="10"/>
        <color rgb="FFFFFFFF"/>
        <rFont val="Arial"/>
        <family val="0"/>
        <charset val="1"/>
      </rPr>
      <t xml:space="preserve">TC </t>
    </r>
    <r>
      <rPr>
        <b val="true"/>
        <sz val="10"/>
        <color rgb="FFFFFFFF"/>
        <rFont val="Noto Sans CJK SC"/>
        <family val="2"/>
      </rPr>
      <t xml:space="preserve">제목</t>
    </r>
  </si>
  <si>
    <t xml:space="preserve">수동 기대결과</t>
  </si>
  <si>
    <t xml:space="preserve">팀 수행결과</t>
  </si>
  <si>
    <r>
      <rPr>
        <b val="true"/>
        <sz val="10"/>
        <color rgb="FFFFFFFF"/>
        <rFont val="Noto Sans CJK SC"/>
        <family val="2"/>
      </rPr>
      <t xml:space="preserve">결함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</si>
  <si>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자동화 판정</t>
  </si>
  <si>
    <t xml:space="preserve">판정 사유</t>
  </si>
  <si>
    <r>
      <rPr>
        <b val="true"/>
        <sz val="10"/>
        <color rgb="FFFFFFFF"/>
        <rFont val="Noto Sans CJK SC"/>
        <family val="2"/>
      </rPr>
      <t xml:space="preserve">자동화 </t>
    </r>
    <r>
      <rPr>
        <b val="true"/>
        <sz val="10"/>
        <color rgb="FFFFFFFF"/>
        <rFont val="Arial"/>
        <family val="0"/>
        <charset val="1"/>
      </rPr>
      <t xml:space="preserve">TC</t>
    </r>
  </si>
  <si>
    <t xml:space="preserve">FN_INFO_001</t>
  </si>
  <si>
    <t xml:space="preserve">한눈에 보는 문화정보</t>
  </si>
  <si>
    <r>
      <rPr>
        <sz val="10"/>
        <rFont val="Noto Sans CJK SC"/>
        <family val="2"/>
      </rPr>
      <t xml:space="preserve">검색어 입력  </t>
    </r>
    <r>
      <rPr>
        <sz val="10"/>
        <rFont val="Arial"/>
        <family val="0"/>
        <charset val="1"/>
      </rPr>
      <t xml:space="preserve">(Null)</t>
    </r>
  </si>
  <si>
    <r>
      <rPr>
        <sz val="10"/>
        <rFont val="Noto Sans CJK SC"/>
        <family val="2"/>
      </rPr>
      <t xml:space="preserve">최소 두자리 이상의 검색어를 입력하세요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메시지 노출</t>
    </r>
  </si>
  <si>
    <t xml:space="preserve">INFO_DF_001</t>
  </si>
  <si>
    <r>
      <rPr>
        <sz val="10"/>
        <rFont val="Noto Sans CJK SC"/>
        <family val="2"/>
      </rPr>
      <t xml:space="preserve">판정 기준이 명확함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안내 메시지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결함 </t>
    </r>
    <r>
      <rPr>
        <sz val="10"/>
        <rFont val="Arial"/>
        <family val="0"/>
        <charset val="1"/>
      </rPr>
      <t xml:space="preserve">INFO_DF_001 </t>
    </r>
    <r>
      <rPr>
        <sz val="10"/>
        <rFont val="Noto Sans CJK SC"/>
        <family val="2"/>
      </rPr>
      <t xml:space="preserve">회귀 확인</t>
    </r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</si>
  <si>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필수값</t>
    </r>
    <r>
      <rPr>
        <sz val="10"/>
        <rFont val="Arial"/>
        <family val="0"/>
        <charset val="1"/>
      </rPr>
      <t xml:space="preserve">-001</t>
    </r>
  </si>
  <si>
    <t xml:space="preserve">FN_INFO_002</t>
  </si>
  <si>
    <r>
      <rPr>
        <sz val="10"/>
        <rFont val="Noto Sans CJK SC"/>
        <family val="2"/>
      </rPr>
      <t xml:space="preserve">검색어 입력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스페이스바로 공백 입력</t>
    </r>
    <r>
      <rPr>
        <sz val="10"/>
        <rFont val="Arial"/>
        <family val="0"/>
        <charset val="1"/>
      </rPr>
      <t xml:space="preserve">)</t>
    </r>
  </si>
  <si>
    <t xml:space="preserve">INFO_DF_002</t>
  </si>
  <si>
    <r>
      <rPr>
        <sz val="10"/>
        <rFont val="Noto Sans CJK SC"/>
        <family val="2"/>
      </rPr>
      <t xml:space="preserve">결함 </t>
    </r>
    <r>
      <rPr>
        <sz val="10"/>
        <rFont val="Arial"/>
        <family val="0"/>
        <charset val="1"/>
      </rPr>
      <t xml:space="preserve">INFO_DF_002 </t>
    </r>
    <r>
      <rPr>
        <sz val="10"/>
        <rFont val="Noto Sans CJK SC"/>
        <family val="2"/>
      </rPr>
      <t xml:space="preserve">회귀 확인</t>
    </r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</si>
  <si>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필수값</t>
    </r>
    <r>
      <rPr>
        <sz val="10"/>
        <rFont val="Arial"/>
        <family val="0"/>
        <charset val="1"/>
      </rPr>
      <t xml:space="preserve">-002</t>
    </r>
  </si>
  <si>
    <t xml:space="preserve">FN_INFO_003</t>
  </si>
  <si>
    <r>
      <rPr>
        <sz val="10"/>
        <rFont val="Noto Sans CJK SC"/>
        <family val="2"/>
      </rPr>
      <t xml:space="preserve">검색어 입력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공백 </t>
    </r>
    <r>
      <rPr>
        <sz val="10"/>
        <rFont val="Arial"/>
        <family val="0"/>
        <charset val="1"/>
      </rPr>
      <t xml:space="preserve">+ 1</t>
    </r>
    <r>
      <rPr>
        <sz val="10"/>
        <rFont val="Noto Sans CJK SC"/>
        <family val="2"/>
      </rPr>
      <t xml:space="preserve">글자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</si>
  <si>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앞뒤 공백 제거 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글자로 인식되어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최소 두자리 이상의 검색어를 입력하세요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메시지 노출</t>
    </r>
  </si>
  <si>
    <t xml:space="preserve">INFO_DF_003</t>
  </si>
  <si>
    <r>
      <rPr>
        <sz val="10"/>
        <rFont val="Noto Sans CJK SC"/>
        <family val="2"/>
      </rPr>
      <t xml:space="preserve">경계값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글자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결함 </t>
    </r>
    <r>
      <rPr>
        <sz val="10"/>
        <rFont val="Arial"/>
        <family val="0"/>
        <charset val="1"/>
      </rPr>
      <t xml:space="preserve">INFO_DF_003 </t>
    </r>
    <r>
      <rPr>
        <sz val="10"/>
        <rFont val="Noto Sans CJK SC"/>
        <family val="2"/>
      </rPr>
      <t xml:space="preserve">회귀 확인</t>
    </r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</si>
  <si>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경계값</t>
    </r>
    <r>
      <rPr>
        <sz val="10"/>
        <rFont val="Arial"/>
        <family val="0"/>
        <charset val="1"/>
      </rPr>
      <t xml:space="preserve">-001</t>
    </r>
  </si>
  <si>
    <t xml:space="preserve">FN_INFO_004</t>
  </si>
  <si>
    <r>
      <rPr>
        <sz val="10"/>
        <rFont val="Noto Sans CJK SC"/>
        <family val="2"/>
      </rPr>
      <t xml:space="preserve">검색어 입력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앞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뒤 공백 처리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</si>
  <si>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앞뒤 공백이 자동으로 제거되어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름밤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정상 검색 처리</t>
    </r>
  </si>
  <si>
    <t xml:space="preserve">-</t>
  </si>
  <si>
    <r>
      <rPr>
        <sz val="10"/>
        <rFont val="Noto Sans CJK SC"/>
        <family val="2"/>
      </rPr>
      <t xml:space="preserve">핵심 정상 흐름 → </t>
    </r>
    <r>
      <rPr>
        <sz val="10"/>
        <rFont val="Arial"/>
        <family val="0"/>
        <charset val="1"/>
      </rPr>
      <t xml:space="preserve">smoke</t>
    </r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</si>
  <si>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-001</t>
    </r>
  </si>
  <si>
    <t xml:space="preserve">FN_INFO_005</t>
  </si>
  <si>
    <r>
      <rPr>
        <sz val="10"/>
        <rFont val="Noto Sans CJK SC"/>
        <family val="2"/>
      </rPr>
      <t xml:space="preserve">상세검색 레이어 열기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닫기</t>
    </r>
  </si>
  <si>
    <r>
      <rPr>
        <sz val="10"/>
        <rFont val="Noto Sans CJK SC"/>
        <family val="2"/>
      </rPr>
      <t xml:space="preserve">클릭 시 상세검색 필터 패널이 숨김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노출 처리되고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버튼 문구가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상세검색 열기</t>
    </r>
    <r>
      <rPr>
        <sz val="10"/>
        <rFont val="Arial"/>
        <family val="0"/>
        <charset val="1"/>
      </rPr>
      <t xml:space="preserve">'/'</t>
    </r>
    <r>
      <rPr>
        <sz val="10"/>
        <rFont val="Noto Sans CJK SC"/>
        <family val="2"/>
      </rPr>
      <t xml:space="preserve">상세검색 닫기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전환</t>
    </r>
  </si>
  <si>
    <t xml:space="preserve">버튼 문구 변화로 객관적 판정 가능</t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</si>
  <si>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상세검색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토글</t>
    </r>
    <r>
      <rPr>
        <sz val="10"/>
        <rFont val="Arial"/>
        <family val="0"/>
        <charset val="1"/>
      </rPr>
      <t xml:space="preserve">-001</t>
    </r>
  </si>
  <si>
    <t xml:space="preserve">FN_INFO_006</t>
  </si>
  <si>
    <r>
      <rPr>
        <sz val="10"/>
        <rFont val="Noto Sans CJK SC"/>
        <family val="2"/>
      </rPr>
      <t xml:space="preserve">상세검색 체크박스 전체선택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해제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주제별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분야별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대상별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비용별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</si>
  <si>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주제별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체크박스 선택 시 하위 아이콘 항목 전체가 일괄 선택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또는 전체 적용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</si>
  <si>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FN_INFO_010</t>
    </r>
    <r>
      <rPr>
        <sz val="10"/>
        <rFont val="Noto Sans CJK SC"/>
        <family val="2"/>
      </rPr>
      <t xml:space="preserve">과 같은 체크박스 영역 →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</si>
  <si>
    <t xml:space="preserve">FN_INFO_007</t>
  </si>
  <si>
    <t xml:space="preserve">상세검색 하위 필터 단일선택</t>
  </si>
  <si>
    <r>
      <rPr>
        <sz val="10"/>
        <rFont val="Noto Sans CJK SC"/>
        <family val="2"/>
      </rPr>
      <t xml:space="preserve">공연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주제에 해당하는 결과 목록만 필터링되어 노출</t>
    </r>
  </si>
  <si>
    <r>
      <rPr>
        <sz val="10"/>
        <rFont val="Noto Sans CJK SC"/>
        <family val="2"/>
      </rPr>
      <t xml:space="preserve">분야 판정은 </t>
    </r>
    <r>
      <rPr>
        <sz val="10"/>
        <rFont val="Arial"/>
        <family val="0"/>
        <charset val="1"/>
      </rPr>
      <t xml:space="preserve">API(realm2)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 분야 동등분할로 검증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화면 필터는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</si>
  <si>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분야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값검증</t>
    </r>
    <r>
      <rPr>
        <sz val="10"/>
        <rFont val="Arial"/>
        <family val="0"/>
        <charset val="1"/>
      </rPr>
      <t xml:space="preserve">-001, API-</t>
    </r>
    <r>
      <rPr>
        <sz val="10"/>
        <rFont val="Noto Sans CJK SC"/>
        <family val="2"/>
      </rPr>
      <t xml:space="preserve">분야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동등분할</t>
    </r>
    <r>
      <rPr>
        <sz val="10"/>
        <rFont val="Arial"/>
        <family val="0"/>
        <charset val="1"/>
      </rPr>
      <t xml:space="preserve">-001</t>
    </r>
  </si>
  <si>
    <t xml:space="preserve">FN_INFO_008</t>
  </si>
  <si>
    <t xml:space="preserve">상세검색 하위 필터 다중선택</t>
  </si>
  <si>
    <r>
      <rPr>
        <sz val="10"/>
        <rFont val="Noto Sans CJK SC"/>
        <family val="2"/>
      </rPr>
      <t xml:space="preserve">공연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이면서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무료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 결과 목록만 정확하게 교집합</t>
    </r>
    <r>
      <rPr>
        <sz val="10"/>
        <rFont val="Arial"/>
        <family val="0"/>
        <charset val="1"/>
      </rPr>
      <t xml:space="preserve">(AND) </t>
    </r>
    <r>
      <rPr>
        <sz val="10"/>
        <rFont val="Noto Sans CJK SC"/>
        <family val="2"/>
      </rPr>
      <t xml:space="preserve">필터링되어 노출</t>
    </r>
  </si>
  <si>
    <r>
      <rPr>
        <sz val="10"/>
        <rFont val="Arial"/>
        <family val="0"/>
        <charset val="1"/>
      </rPr>
      <t xml:space="preserve">AND </t>
    </r>
    <r>
      <rPr>
        <sz val="10"/>
        <rFont val="Noto Sans CJK SC"/>
        <family val="2"/>
      </rPr>
      <t xml:space="preserve">조건 판정에 결과 항목의 분야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비용 표시 확인 필요 →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</si>
  <si>
    <t xml:space="preserve">FN_INFO_009</t>
  </si>
  <si>
    <r>
      <rPr>
        <sz val="10"/>
        <rFont val="Noto Sans CJK SC"/>
        <family val="2"/>
      </rPr>
      <t xml:space="preserve">상세검색 복합 조회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검색어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필터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</si>
  <si>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무료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조건에 해당하는 항목 중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축제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검색어가 포함된 결과만 노출</t>
    </r>
  </si>
  <si>
    <r>
      <rPr>
        <sz val="10"/>
        <rFont val="Arial"/>
        <family val="0"/>
        <charset val="1"/>
      </rPr>
      <t xml:space="preserve">FN_INFO_008 </t>
    </r>
    <r>
      <rPr>
        <sz val="10"/>
        <rFont val="Noto Sans CJK SC"/>
        <family val="2"/>
      </rPr>
      <t xml:space="preserve">이후 진행</t>
    </r>
  </si>
  <si>
    <t xml:space="preserve">FN_INFO_010</t>
  </si>
  <si>
    <r>
      <rPr>
        <sz val="10"/>
        <rFont val="Noto Sans CJK SC"/>
        <family val="2"/>
      </rPr>
      <t xml:space="preserve">상세검색 필터 초기화  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전체해제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버튼 클릭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</si>
  <si>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선택되어 있던 모든 체크박스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필터가 선택 해제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초기 상태</t>
    </r>
    <r>
      <rPr>
        <sz val="10"/>
        <rFont val="Arial"/>
        <family val="0"/>
        <charset val="1"/>
      </rPr>
      <t xml:space="preserve">)</t>
    </r>
  </si>
  <si>
    <t xml:space="preserve">체크 상태로 객관적 판정 가능</t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</si>
  <si>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상세검색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초기화</t>
    </r>
    <r>
      <rPr>
        <sz val="10"/>
        <rFont val="Arial"/>
        <family val="0"/>
        <charset val="1"/>
      </rPr>
      <t xml:space="preserve">-001</t>
    </r>
  </si>
  <si>
    <t xml:space="preserve">FN_INFO_011</t>
  </si>
  <si>
    <r>
      <rPr>
        <sz val="10"/>
        <rFont val="Noto Sans CJK SC"/>
        <family val="2"/>
      </rPr>
      <t xml:space="preserve">조회 데이터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</si>
  <si>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화면 오류</t>
    </r>
    <r>
      <rPr>
        <sz val="10"/>
        <rFont val="Arial"/>
        <family val="0"/>
        <charset val="1"/>
      </rPr>
      <t xml:space="preserve">(500 </t>
    </r>
    <r>
      <rPr>
        <sz val="10"/>
        <rFont val="Noto Sans CJK SC"/>
        <family val="2"/>
      </rPr>
      <t xml:space="preserve">에러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없이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데이터가 없습니다</t>
    </r>
    <r>
      <rPr>
        <sz val="10"/>
        <rFont val="Arial"/>
        <family val="0"/>
        <charset val="1"/>
      </rPr>
      <t xml:space="preserve">.' </t>
    </r>
    <r>
      <rPr>
        <sz val="10"/>
        <rFont val="Noto Sans CJK SC"/>
        <family val="2"/>
      </rPr>
      <t xml:space="preserve">문구가 정상 노출</t>
    </r>
  </si>
  <si>
    <t xml:space="preserve">미수행</t>
  </si>
  <si>
    <r>
      <rPr>
        <sz val="10"/>
        <rFont val="Noto Sans CJK SC"/>
        <family val="2"/>
      </rPr>
      <t xml:space="preserve">결함 </t>
    </r>
    <r>
      <rPr>
        <sz val="10"/>
        <rFont val="Arial"/>
        <family val="0"/>
        <charset val="1"/>
      </rPr>
      <t xml:space="preserve">INFO_def_001(</t>
    </r>
    <r>
      <rPr>
        <sz val="10"/>
        <rFont val="Noto Sans CJK SC"/>
        <family val="2"/>
      </rPr>
      <t xml:space="preserve">건수 불일치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회귀 후보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결과 건수 표시 위치 확인 후 진행</t>
    </r>
  </si>
  <si>
    <t xml:space="preserve">FN_INFO_012</t>
  </si>
  <si>
    <r>
      <rPr>
        <sz val="10"/>
        <rFont val="Noto Sans CJK SC"/>
        <family val="2"/>
      </rPr>
      <t xml:space="preserve">필터 유지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페이지 이동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새로고침</t>
    </r>
    <r>
      <rPr>
        <sz val="10"/>
        <rFont val="Arial"/>
        <family val="0"/>
        <charset val="1"/>
      </rPr>
      <t xml:space="preserve">)</t>
    </r>
  </si>
  <si>
    <t xml:space="preserve">선택했던 상세 필터 조건 및 체크 상태가 풀리지 않고 유지</t>
  </si>
  <si>
    <r>
      <rPr>
        <sz val="10"/>
        <rFont val="Noto Sans CJK SC"/>
        <family val="2"/>
      </rPr>
      <t xml:space="preserve">팀 리뷰 지적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새로고침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페이지 이동 분리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반영 후 진행</t>
    </r>
  </si>
  <si>
    <t xml:space="preserve">FN_INFO_013</t>
  </si>
  <si>
    <t xml:space="preserve">내 주변 문화콘텐츠</t>
  </si>
  <si>
    <r>
      <rPr>
        <sz val="10"/>
        <rFont val="Noto Sans CJK SC"/>
        <family val="2"/>
      </rPr>
      <t xml:space="preserve">지도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정상 로딩</t>
    </r>
  </si>
  <si>
    <t xml:space="preserve">지도가 회색 빈 화면 없이 정상 렌더링</t>
  </si>
  <si>
    <t xml:space="preserve">지도 렌더링은 시각 판정이라 자동 판정 신뢰도가 낮음</t>
  </si>
  <si>
    <t xml:space="preserve">FN_INFO_014</t>
  </si>
  <si>
    <r>
      <rPr>
        <sz val="10"/>
        <rFont val="Noto Sans CJK SC"/>
        <family val="2"/>
      </rPr>
      <t xml:space="preserve">지도 현재 위치 확인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위치 정보 권한 허용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</si>
  <si>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사용자의 현재 위치</t>
    </r>
    <r>
      <rPr>
        <sz val="10"/>
        <rFont val="Arial"/>
        <family val="0"/>
        <charset val="1"/>
      </rPr>
      <t xml:space="preserve">(GPS/IP </t>
    </r>
    <r>
      <rPr>
        <sz val="10"/>
        <rFont val="Noto Sans CJK SC"/>
        <family val="2"/>
      </rPr>
      <t xml:space="preserve">기반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중심으로 지도가 자동 이동하고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현재 위치 마커 및 주변 콘텐츠 핀들이 정상 노출</t>
    </r>
  </si>
  <si>
    <t xml:space="preserve">브라우저 위치 정보를 코드로 지정해 수동보다 재현성이 높음</t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</si>
  <si>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내주변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위치</t>
    </r>
    <r>
      <rPr>
        <sz val="10"/>
        <rFont val="Arial"/>
        <family val="0"/>
        <charset val="1"/>
      </rPr>
      <t xml:space="preserve">-001</t>
    </r>
  </si>
  <si>
    <t xml:space="preserve">FN_INFO_015</t>
  </si>
  <si>
    <r>
      <rPr>
        <sz val="10"/>
        <rFont val="Noto Sans CJK SC"/>
        <family val="2"/>
      </rPr>
      <t xml:space="preserve">지도 현재 위치 확인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위치 정보 권한 허용 안 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</si>
  <si>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기본 설정 위치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서울시청 또는 종로구 기본값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지도 노출 유지</t>
    </r>
  </si>
  <si>
    <t xml:space="preserve">위치 권한 거부 상태를 코드로 재현</t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</si>
  <si>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내주변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위치</t>
    </r>
    <r>
      <rPr>
        <sz val="10"/>
        <rFont val="Arial"/>
        <family val="0"/>
        <charset val="1"/>
      </rPr>
      <t xml:space="preserve">-002</t>
    </r>
  </si>
  <si>
    <t xml:space="preserve">FN_INFO_016</t>
  </si>
  <si>
    <r>
      <rPr>
        <sz val="10"/>
        <rFont val="Noto Sans CJK SC"/>
        <family val="2"/>
      </rPr>
      <t xml:space="preserve">지도 거리 반경 적용  </t>
    </r>
    <r>
      <rPr>
        <sz val="10"/>
        <rFont val="Arial"/>
        <family val="0"/>
        <charset val="1"/>
      </rPr>
      <t xml:space="preserve">(5km, 10km, 15km, 20km, 30km)</t>
    </r>
  </si>
  <si>
    <r>
      <rPr>
        <sz val="10"/>
        <rFont val="Noto Sans CJK SC"/>
        <family val="2"/>
      </rPr>
      <t xml:space="preserve">선택한 반경 범위에 맞춰 지도 축척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영역이 변경</t>
    </r>
  </si>
  <si>
    <r>
      <rPr>
        <sz val="10"/>
        <rFont val="Noto Sans CJK SC"/>
        <family val="2"/>
      </rPr>
      <t xml:space="preserve">팀 리뷰 지적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예시 반경은 재현 불가</t>
    </r>
    <r>
      <rPr>
        <sz val="10"/>
        <rFont val="Arial"/>
        <family val="0"/>
        <charset val="1"/>
      </rPr>
      <t xml:space="preserve">')</t>
    </r>
    <r>
      <rPr>
        <sz val="10"/>
        <rFont val="Noto Sans CJK SC"/>
        <family val="2"/>
      </rPr>
      <t xml:space="preserve">을 반경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데이터 기반 실행으로 해결</t>
    </r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</si>
  <si>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내주변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반경</t>
    </r>
    <r>
      <rPr>
        <sz val="10"/>
        <rFont val="Arial"/>
        <family val="0"/>
        <charset val="1"/>
      </rPr>
      <t xml:space="preserve">-001</t>
    </r>
  </si>
  <si>
    <t xml:space="preserve">FN_INFO_017</t>
  </si>
  <si>
    <r>
      <rPr>
        <sz val="10"/>
        <rFont val="Noto Sans CJK SC"/>
        <family val="2"/>
      </rPr>
      <t xml:space="preserve">지도 상세정보 팝업창 확인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콘텐츠 아이콘 클릭</t>
    </r>
    <r>
      <rPr>
        <sz val="10"/>
        <rFont val="Arial"/>
        <family val="0"/>
        <charset val="1"/>
      </rPr>
      <t xml:space="preserve">)</t>
    </r>
  </si>
  <si>
    <t xml:space="preserve">클릭한 핀 상단에 상세정보가 기재된 팝업창 노출</t>
  </si>
  <si>
    <t xml:space="preserve">지도 마커 클릭이 화면 좌표에 의존함</t>
  </si>
  <si>
    <t xml:space="preserve">FN_INFO_018</t>
  </si>
  <si>
    <r>
      <rPr>
        <sz val="10"/>
        <rFont val="Noto Sans CJK SC"/>
        <family val="2"/>
      </rPr>
      <t xml:space="preserve">지도뷰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스카이뷰 전환</t>
    </r>
  </si>
  <si>
    <t xml:space="preserve">지도 그래픽이 매끄럽게 전환</t>
  </si>
  <si>
    <t xml:space="preserve">지도 그래픽 전환은 시각 판정</t>
  </si>
  <si>
    <t xml:space="preserve">FN_INFO_019</t>
  </si>
  <si>
    <r>
      <rPr>
        <sz val="10"/>
        <rFont val="Noto Sans CJK SC"/>
        <family val="2"/>
      </rPr>
      <t xml:space="preserve">지도 전체보기  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크게보기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버튼</t>
    </r>
    <r>
      <rPr>
        <sz val="10"/>
        <rFont val="Arial"/>
        <family val="0"/>
        <charset val="1"/>
      </rPr>
      <t xml:space="preserve">)</t>
    </r>
  </si>
  <si>
    <t xml:space="preserve">크게보기 클릭 시 전체화면 모드로 확장</t>
  </si>
  <si>
    <t xml:space="preserve">전체화면 전환은 확인 가능하나 우선순위 낮음</t>
  </si>
  <si>
    <t xml:space="preserve">FN_INFO_020</t>
  </si>
  <si>
    <t xml:space="preserve">상세페이지 로딩</t>
  </si>
  <si>
    <t xml:space="preserve">상세보기 정보를 정상적으로 노출</t>
  </si>
  <si>
    <r>
      <rPr>
        <sz val="10"/>
        <rFont val="Noto Sans CJK SC"/>
        <family val="2"/>
      </rPr>
      <t xml:space="preserve">상세 이동은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 </t>
    </r>
    <r>
      <rPr>
        <sz val="10"/>
        <rFont val="Arial"/>
        <family val="0"/>
        <charset val="1"/>
      </rPr>
      <t xml:space="preserve">UI-API </t>
    </r>
    <r>
      <rPr>
        <sz val="10"/>
        <rFont val="Noto Sans CJK SC"/>
        <family val="2"/>
      </rPr>
      <t xml:space="preserve">정합성 테스트에서 함께 다룸</t>
    </r>
  </si>
  <si>
    <t xml:space="preserve">FN_INFO_021</t>
  </si>
  <si>
    <t xml:space="preserve">목록과 상세페이지 정보 일치</t>
  </si>
  <si>
    <r>
      <rPr>
        <sz val="10"/>
        <rFont val="Noto Sans CJK SC"/>
        <family val="2"/>
      </rPr>
      <t xml:space="preserve">목록에 노출되었던 정보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상세 페이지의 기본 정보가 완벽히 일치</t>
    </r>
  </si>
  <si>
    <r>
      <rPr>
        <sz val="10"/>
        <rFont val="Noto Sans CJK SC"/>
        <family val="2"/>
      </rPr>
      <t xml:space="preserve">목록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상세 정보 일치를 </t>
    </r>
    <r>
      <rPr>
        <sz val="10"/>
        <rFont val="Arial"/>
        <family val="0"/>
        <charset val="1"/>
      </rPr>
      <t xml:space="preserve">API(period2↔detail2)</t>
    </r>
    <r>
      <rPr>
        <sz val="10"/>
        <rFont val="Noto Sans CJK SC"/>
        <family val="2"/>
      </rPr>
      <t xml:space="preserve">로 검증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화면 비교는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</si>
  <si>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상세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-001</t>
    </r>
  </si>
  <si>
    <t xml:space="preserve">FN_INFO_022</t>
  </si>
  <si>
    <t xml:space="preserve">예매 바로가기</t>
  </si>
  <si>
    <t xml:space="preserve">새 창으로 해당 문화행사의 실제 예매처로 정상 이동</t>
  </si>
  <si>
    <r>
      <rPr>
        <sz val="10"/>
        <rFont val="Noto Sans CJK SC"/>
        <family val="2"/>
      </rPr>
      <t xml:space="preserve">외부 예매처 사이트에 의존함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외부 서버 부하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)</t>
    </r>
  </si>
  <si>
    <t xml:space="preserve">FN_INFO_023</t>
  </si>
  <si>
    <t xml:space="preserve">상세페이지 지도 위치마커</t>
  </si>
  <si>
    <t xml:space="preserve">표기된 주소에 마커가 정확히 표시</t>
  </si>
  <si>
    <t xml:space="preserve">지도 마커 위치는 시각 판정</t>
  </si>
  <si>
    <t xml:space="preserve">FN_INFO_024</t>
  </si>
  <si>
    <t xml:space="preserve">상세페이지 스크랩 동작</t>
  </si>
  <si>
    <t xml:space="preserve">비로그인 시 로그인 유도 팝업 노출</t>
  </si>
  <si>
    <r>
      <rPr>
        <sz val="10"/>
        <rFont val="Noto Sans CJK SC"/>
        <family val="2"/>
      </rPr>
      <t xml:space="preserve">비로그인 스크랩 알림창 감지로 자동화 가능 →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</si>
  <si>
    <t xml:space="preserve">FN_INFO_025</t>
  </si>
  <si>
    <t xml:space="preserve">문화릴레이티켓</t>
  </si>
  <si>
    <t xml:space="preserve">임의의 콘텐츠의 예매 페이지로 이동</t>
  </si>
  <si>
    <t xml:space="preserve">외부 사이트 이동</t>
  </si>
  <si>
    <t xml:space="preserve">FN_INFO_026</t>
  </si>
  <si>
    <t xml:space="preserve">공식 홈페이지</t>
  </si>
  <si>
    <t xml:space="preserve">임의의 콘텐츠의 공식 홈페이지로 이동</t>
  </si>
  <si>
    <t xml:space="preserve">FN_INFO_027</t>
  </si>
  <si>
    <t xml:space="preserve">문화캘린더</t>
  </si>
  <si>
    <t xml:space="preserve">캘린더 기본 날짜 표시</t>
  </si>
  <si>
    <r>
      <rPr>
        <sz val="10"/>
        <rFont val="Noto Sans CJK SC"/>
        <family val="2"/>
      </rPr>
      <t xml:space="preserve">테스트 일자의 달력이 기본 표출되며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오늘 날짜 셀에 붉은색 강조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포커스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테투리 붉은 선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표시가 정상 적용</t>
    </r>
  </si>
  <si>
    <r>
      <rPr>
        <sz val="10"/>
        <rFont val="Noto Sans CJK SC"/>
        <family val="2"/>
      </rPr>
      <t xml:space="preserve">오늘 날짜 기준으로 객관적 판정 → </t>
    </r>
    <r>
      <rPr>
        <sz val="10"/>
        <rFont val="Arial"/>
        <family val="0"/>
        <charset val="1"/>
      </rPr>
      <t xml:space="preserve">smoke</t>
    </r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</si>
  <si>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캘린더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표시</t>
    </r>
    <r>
      <rPr>
        <sz val="10"/>
        <rFont val="Arial"/>
        <family val="0"/>
        <charset val="1"/>
      </rPr>
      <t xml:space="preserve">-001</t>
    </r>
  </si>
  <si>
    <t xml:space="preserve">FN_INFO_028</t>
  </si>
  <si>
    <r>
      <rPr>
        <sz val="10"/>
        <rFont val="Noto Sans CJK SC"/>
        <family val="2"/>
      </rPr>
      <t xml:space="preserve">이전 달</t>
    </r>
    <r>
      <rPr>
        <sz val="10"/>
        <rFont val="Arial"/>
        <family val="0"/>
        <charset val="1"/>
      </rPr>
      <t xml:space="preserve">(&lt;) / </t>
    </r>
    <r>
      <rPr>
        <sz val="10"/>
        <rFont val="Noto Sans CJK SC"/>
        <family val="2"/>
      </rPr>
      <t xml:space="preserve">다음 달</t>
    </r>
    <r>
      <rPr>
        <sz val="10"/>
        <rFont val="Arial"/>
        <family val="0"/>
        <charset val="1"/>
      </rPr>
      <t xml:space="preserve">(&gt;) </t>
    </r>
    <r>
      <rPr>
        <sz val="10"/>
        <rFont val="Noto Sans CJK SC"/>
        <family val="2"/>
      </rPr>
      <t xml:space="preserve">이동 버튼 동작</t>
    </r>
  </si>
  <si>
    <r>
      <rPr>
        <sz val="10"/>
        <rFont val="Noto Sans CJK SC"/>
        <family val="2"/>
      </rPr>
      <t xml:space="preserve">클릭 시 이전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다음 달력 데이터로 정상 갱신되며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해당 월의 일수와 시작 요일에 맞게 그리드가 재배치</t>
    </r>
  </si>
  <si>
    <r>
      <rPr>
        <sz val="10"/>
        <rFont val="Noto Sans CJK SC"/>
        <family val="2"/>
      </rPr>
      <t xml:space="preserve">팀 리뷰 지적에 따라 이전 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다음 달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개로 분리</t>
    </r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</si>
  <si>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캘린더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이동</t>
    </r>
    <r>
      <rPr>
        <sz val="10"/>
        <rFont val="Arial"/>
        <family val="0"/>
        <charset val="1"/>
      </rPr>
      <t xml:space="preserve">-001, UI-</t>
    </r>
    <r>
      <rPr>
        <sz val="10"/>
        <rFont val="Noto Sans CJK SC"/>
        <family val="2"/>
      </rPr>
      <t xml:space="preserve">캘린더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이동</t>
    </r>
    <r>
      <rPr>
        <sz val="10"/>
        <rFont val="Arial"/>
        <family val="0"/>
        <charset val="1"/>
      </rPr>
      <t xml:space="preserve">-002</t>
    </r>
  </si>
  <si>
    <t xml:space="preserve">FN_INFO_029</t>
  </si>
  <si>
    <r>
      <rPr>
        <sz val="10"/>
        <rFont val="Noto Sans CJK SC"/>
        <family val="2"/>
      </rPr>
      <t xml:space="preserve">상단 셀렉트 박스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</si>
  <si>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해당 월의 일자별 데이터가 올바르게 갱신</t>
  </si>
  <si>
    <r>
      <rPr>
        <sz val="10"/>
        <rFont val="Noto Sans CJK SC"/>
        <family val="2"/>
      </rPr>
      <t xml:space="preserve">월 선택 →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</si>
  <si>
    <t xml:space="preserve">FN_INFO_030</t>
  </si>
  <si>
    <t xml:space="preserve">일자별 총 데이터 건수 일치</t>
  </si>
  <si>
    <t xml:space="preserve">각 분류별 세부 건수의 단순 합계와 일자 상단에 표시된 총 건수가 정확히 일치</t>
  </si>
  <si>
    <r>
      <rPr>
        <sz val="10"/>
        <rFont val="Noto Sans CJK SC"/>
        <family val="2"/>
      </rPr>
      <t xml:space="preserve">캘린더 건수는 </t>
    </r>
    <r>
      <rPr>
        <sz val="10"/>
        <rFont val="Arial"/>
        <family val="0"/>
        <charset val="1"/>
      </rPr>
      <t xml:space="preserve">API(livelihood2)</t>
    </r>
    <r>
      <rPr>
        <sz val="10"/>
        <rFont val="Noto Sans CJK SC"/>
        <family val="2"/>
      </rPr>
      <t xml:space="preserve">로 먼저 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화면 건수 비교는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</si>
  <si>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캘린더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-001</t>
    </r>
  </si>
  <si>
    <t xml:space="preserve">FN_INFO_031</t>
  </si>
  <si>
    <t xml:space="preserve">분류항목 선택 셀렉트 박스</t>
  </si>
  <si>
    <r>
      <rPr>
        <sz val="10"/>
        <rFont val="Noto Sans CJK SC"/>
        <family val="2"/>
      </rPr>
      <t xml:space="preserve">달력 내 각 날짜별로 선택한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건수만 필터링되어 카운트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노출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</si>
  <si>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</si>
  <si>
    <t xml:space="preserve">FN_INFO_032</t>
  </si>
  <si>
    <t xml:space="preserve">검색어 입력</t>
  </si>
  <si>
    <r>
      <rPr>
        <sz val="10"/>
        <rFont val="Noto Sans CJK SC"/>
        <family val="2"/>
      </rPr>
      <t xml:space="preserve">입력한 검색어가 포함된 행사만 카운트되어 달력에 반영되고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총 건수 재계산되어 표시</t>
    </r>
  </si>
  <si>
    <t xml:space="preserve">FN_INFO_033</t>
  </si>
  <si>
    <t xml:space="preserve">캘린더 일자별 목록 조회</t>
  </si>
  <si>
    <t xml:space="preserve">해당 일자의 상세 목록이 페이지 하단에 정상 노출</t>
  </si>
  <si>
    <t xml:space="preserve">FN_INFO_034</t>
  </si>
  <si>
    <t xml:space="preserve">문화공간ㆍ단체</t>
  </si>
  <si>
    <r>
      <rPr>
        <sz val="10"/>
        <rFont val="Noto Sans CJK SC"/>
        <family val="2"/>
      </rPr>
      <t xml:space="preserve">내 주변 문화콘텐츠와 같은 지도 기능 → 대표 화면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곳만 자동화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중복 제외</t>
    </r>
    <r>
      <rPr>
        <sz val="10"/>
        <rFont val="Arial"/>
        <family val="0"/>
        <charset val="1"/>
      </rPr>
      <t xml:space="preserve">)</t>
    </r>
  </si>
  <si>
    <t xml:space="preserve">FN_INFO_035</t>
  </si>
  <si>
    <r>
      <rPr>
        <sz val="10"/>
        <rFont val="Noto Sans CJK SC"/>
        <family val="2"/>
      </rPr>
      <t xml:space="preserve">사용자의 현재 위치</t>
    </r>
    <r>
      <rPr>
        <sz val="10"/>
        <rFont val="Arial"/>
        <family val="0"/>
        <charset val="1"/>
      </rPr>
      <t xml:space="preserve">(GPS/IP </t>
    </r>
    <r>
      <rPr>
        <sz val="10"/>
        <rFont val="Noto Sans CJK SC"/>
        <family val="2"/>
      </rPr>
      <t xml:space="preserve">기반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중심으로 지도가 자동 이동</t>
    </r>
  </si>
  <si>
    <t xml:space="preserve">FN_INFO_036</t>
  </si>
  <si>
    <t xml:space="preserve">FN_INFO_037</t>
  </si>
  <si>
    <t xml:space="preserve">FN_INFO_038</t>
  </si>
  <si>
    <t xml:space="preserve">FN_INFO_039</t>
  </si>
  <si>
    <t xml:space="preserve">FN_INFO_040</t>
  </si>
  <si>
    <t xml:space="preserve">문화취약계층</t>
  </si>
  <si>
    <t xml:space="preserve">바로가기 링크</t>
  </si>
  <si>
    <r>
      <rPr>
        <sz val="10"/>
        <rFont val="Noto Sans CJK SC"/>
        <family val="2"/>
      </rPr>
      <t xml:space="preserve">한국장애인문화예술원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홈페이지가 새창으로 열림</t>
    </r>
  </si>
  <si>
    <r>
      <rPr>
        <b val="true"/>
        <sz val="10"/>
        <color rgb="FFFFFFFF"/>
        <rFont val="Noto Sans CJK SC"/>
        <family val="2"/>
      </rPr>
      <t xml:space="preserve">자동화 </t>
    </r>
    <r>
      <rPr>
        <b val="true"/>
        <sz val="10"/>
        <color rgb="FFFFFFFF"/>
        <rFont val="Arial"/>
        <family val="0"/>
        <charset val="1"/>
      </rPr>
      <t xml:space="preserve">TC ID</t>
    </r>
  </si>
  <si>
    <t xml:space="preserve">제목</t>
  </si>
  <si>
    <t xml:space="preserve">기대결과</t>
  </si>
  <si>
    <t xml:space="preserve">적용 기법</t>
  </si>
  <si>
    <r>
      <rPr>
        <b val="true"/>
        <sz val="10"/>
        <color rgb="FFFFFFFF"/>
        <rFont val="Noto Sans CJK SC"/>
        <family val="2"/>
      </rPr>
      <t xml:space="preserve">수동 </t>
    </r>
    <r>
      <rPr>
        <b val="true"/>
        <sz val="10"/>
        <color rgb="FFFFFFFF"/>
        <rFont val="Arial"/>
        <family val="0"/>
        <charset val="1"/>
      </rPr>
      <t xml:space="preserve">TC</t>
    </r>
  </si>
  <si>
    <r>
      <rPr>
        <b val="true"/>
        <sz val="10"/>
        <color rgb="FFFFFFFF"/>
        <rFont val="Arial"/>
        <family val="0"/>
        <charset val="1"/>
      </rPr>
      <t xml:space="preserve">BDD </t>
    </r>
    <r>
      <rPr>
        <b val="true"/>
        <sz val="10"/>
        <color rgb="FFFFFFFF"/>
        <rFont val="Noto Sans CJK SC"/>
        <family val="2"/>
      </rPr>
      <t xml:space="preserve">시나리오</t>
    </r>
  </si>
  <si>
    <t xml:space="preserve">스크립트</t>
  </si>
  <si>
    <t xml:space="preserve">실행범위</t>
  </si>
  <si>
    <t xml:space="preserve">단계</t>
  </si>
  <si>
    <t xml:space="preserve">실행결과</t>
  </si>
  <si>
    <t xml:space="preserve">비고</t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</si>
  <si>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검색어 없이 검색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</si>
  <si>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최소 두자리 이상의 검색어를 입력하세요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안내 메시지가 노출됨</t>
    </r>
  </si>
  <si>
    <r>
      <rPr>
        <sz val="10"/>
        <rFont val="Noto Sans CJK SC"/>
        <family val="2"/>
      </rPr>
      <t xml:space="preserve">동등분할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무효</t>
    </r>
    <r>
      <rPr>
        <sz val="10"/>
        <rFont val="Arial"/>
        <family val="0"/>
        <charset val="1"/>
      </rPr>
      <t xml:space="preserve">)</t>
    </r>
  </si>
  <si>
    <t xml:space="preserve">features/info_search.feature</t>
  </si>
  <si>
    <t xml:space="preserve">tests/ui/test_info_search.py</t>
  </si>
  <si>
    <t xml:space="preserve">Regression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</si>
  <si>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</t>
    </r>
  </si>
  <si>
    <r>
      <rPr>
        <sz val="10"/>
        <rFont val="Noto Sans CJK SC"/>
        <family val="2"/>
      </rPr>
      <t xml:space="preserve">결함 존속 시 </t>
    </r>
    <r>
      <rPr>
        <sz val="10"/>
        <rFont val="Arial"/>
        <family val="0"/>
        <charset val="1"/>
      </rPr>
      <t xml:space="preserve">XFAIL</t>
    </r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</si>
  <si>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공백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칸만 입력하고 검색</t>
    </r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</si>
  <si>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앞 공백과 한 글자로 검색</t>
    </r>
  </si>
  <si>
    <t xml:space="preserve">경계값</t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</si>
  <si>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검색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앞뒤 공백이 있는 검색어로 검색</t>
    </r>
  </si>
  <si>
    <r>
      <rPr>
        <sz val="10"/>
        <rFont val="Noto Sans CJK SC"/>
        <family val="2"/>
      </rPr>
      <t xml:space="preserve">안내 메시지 없이 검색 결과가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이상 노출됨</t>
    </r>
  </si>
  <si>
    <r>
      <rPr>
        <sz val="10"/>
        <rFont val="Noto Sans CJK SC"/>
        <family val="2"/>
      </rPr>
      <t xml:space="preserve">동등분할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</si>
  <si>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상세검색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상세검색 열기와 닫기</t>
    </r>
  </si>
  <si>
    <t xml:space="preserve">클릭할 때마다 버튼 문구가 바뀌고 두 번 클릭 시 처음 문구로 돌아옴</t>
  </si>
  <si>
    <t xml:space="preserve">상태 전이</t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</si>
  <si>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상세검색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전체해제로 필터 초기화</t>
    </r>
  </si>
  <si>
    <r>
      <rPr>
        <sz val="10"/>
        <rFont val="Noto Sans CJK SC"/>
        <family val="2"/>
      </rPr>
      <t xml:space="preserve">선택된 필터가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개로 초기화됨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</si>
  <si>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주</t>
    </r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</si>
  <si>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내주변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위치 권한 허용 후 현재위치 조회</t>
    </r>
  </si>
  <si>
    <r>
      <rPr>
        <sz val="10"/>
        <rFont val="Noto Sans CJK SC"/>
        <family val="2"/>
      </rPr>
      <t xml:space="preserve">수원 위치 기준 문화콘텐츠 목록이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이상 노출됨</t>
    </r>
  </si>
  <si>
    <t xml:space="preserve">features/nearby.feature</t>
  </si>
  <si>
    <t xml:space="preserve">tests/ui/test_nearby.py</t>
  </si>
  <si>
    <t xml:space="preserve">브라우저 위치를 코드로 지정</t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</si>
  <si>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내주변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위치 권한 거부 후 현재위치 조회</t>
    </r>
  </si>
  <si>
    <r>
      <rPr>
        <sz val="10"/>
        <rFont val="Noto Sans CJK SC"/>
        <family val="2"/>
      </rPr>
      <t xml:space="preserve">화면 오류 없이 기본 위치 목록이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이상 노출됨</t>
    </r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</si>
  <si>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내주변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반경 </t>
    </r>
    <r>
      <rPr>
        <sz val="10"/>
        <rFont val="Arial"/>
        <family val="0"/>
        <charset val="1"/>
      </rPr>
      <t xml:space="preserve">5·10·15·20·30km </t>
    </r>
    <r>
      <rPr>
        <sz val="10"/>
        <rFont val="Noto Sans CJK SC"/>
        <family val="2"/>
      </rPr>
      <t xml:space="preserve">선택</t>
    </r>
  </si>
  <si>
    <r>
      <rPr>
        <sz val="10"/>
        <rFont val="Noto Sans CJK SC"/>
        <family val="2"/>
      </rPr>
      <t xml:space="preserve">반경별로 화면 오류 없이 목록이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이상 노출됨</t>
    </r>
  </si>
  <si>
    <t xml:space="preserve">동등분할</t>
  </si>
  <si>
    <r>
      <rPr>
        <sz val="10"/>
        <rFont val="Arial"/>
        <family val="0"/>
        <charset val="1"/>
      </rPr>
      <t xml:space="preserve">Scenario Outline 5</t>
    </r>
    <r>
      <rPr>
        <sz val="10"/>
        <rFont val="Noto Sans CJK SC"/>
        <family val="2"/>
      </rPr>
      <t xml:space="preserve">회 실행</t>
    </r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</si>
  <si>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캘린더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이번 달 기본 표시</t>
    </r>
  </si>
  <si>
    <t xml:space="preserve">캘린더 제목에 오늘의 연월이 표시됨</t>
  </si>
  <si>
    <t xml:space="preserve">features/calendar.feature</t>
  </si>
  <si>
    <t xml:space="preserve">tests/ui/test_calendar.py</t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</si>
  <si>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캘린더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이동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</si>
  <si>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캘린더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이전 달로 이동</t>
    </r>
  </si>
  <si>
    <t xml:space="preserve">캘린더 제목이 한 달 전 연월로 바뀜</t>
  </si>
  <si>
    <r>
      <rPr>
        <sz val="10"/>
        <rFont val="Noto Sans CJK SC"/>
        <family val="2"/>
      </rPr>
      <t xml:space="preserve">경계값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연도 바뀜 포함</t>
    </r>
    <r>
      <rPr>
        <sz val="10"/>
        <rFont val="Arial"/>
        <family val="0"/>
        <charset val="1"/>
      </rPr>
      <t xml:space="preserve">)</t>
    </r>
  </si>
  <si>
    <t xml:space="preserve">팀 리뷰 반영해 분리</t>
  </si>
  <si>
    <r>
      <rPr>
        <sz val="10"/>
        <rFont val="Arial"/>
        <family val="0"/>
        <charset val="1"/>
      </rPr>
      <t xml:space="preserve">UI-</t>
    </r>
    <r>
      <rPr>
        <sz val="10"/>
        <rFont val="Noto Sans CJK SC"/>
        <family val="2"/>
      </rPr>
      <t xml:space="preserve">캘린더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이동</t>
    </r>
    <r>
      <rPr>
        <sz val="10"/>
        <rFont val="Arial"/>
        <family val="0"/>
        <charset val="1"/>
      </rPr>
      <t xml:space="preserve">-002</t>
    </r>
  </si>
  <si>
    <r>
      <rPr>
        <sz val="10"/>
        <rFont val="Arial"/>
        <family val="0"/>
        <charset val="1"/>
      </rPr>
      <t xml:space="preserve">[UI][</t>
    </r>
    <r>
      <rPr>
        <sz val="10"/>
        <rFont val="Noto Sans CJK SC"/>
        <family val="2"/>
      </rPr>
      <t xml:space="preserve">캘린더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다음 달로 이동</t>
    </r>
  </si>
  <si>
    <t xml:space="preserve">캘린더 제목이 한 달 뒤 연월로 바뀜</t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</si>
  <si>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</si>
  <si>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기간목록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이번 달 목록 정상 조회</t>
    </r>
  </si>
  <si>
    <r>
      <rPr>
        <sz val="10"/>
        <rFont val="Arial"/>
        <family val="0"/>
        <charset val="1"/>
      </rPr>
      <t xml:space="preserve">HTTP 200, resultCode 00</t>
    </r>
    <r>
      <rPr>
        <sz val="10"/>
        <rFont val="Noto Sans CJK SC"/>
        <family val="2"/>
      </rPr>
      <t xml:space="preserve">이 반환되고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이상 조회됨</t>
    </r>
  </si>
  <si>
    <t xml:space="preserve">tests/api/test_period.py</t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</si>
  <si>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-002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</si>
  <si>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기간목록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조회 기간과 항목 기간 일치</t>
    </r>
  </si>
  <si>
    <t xml:space="preserve">모든 항목의 기간이 조회 기간과 겹침</t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</si>
  <si>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경계값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</si>
  <si>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기간목록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시작일이 종료일보다 늦은 기간</t>
    </r>
  </si>
  <si>
    <r>
      <rPr>
        <sz val="10"/>
        <rFont val="Noto Sans CJK SC"/>
        <family val="2"/>
      </rPr>
      <t xml:space="preserve">오류코드가 반환되거나 결과가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건임</t>
    </r>
  </si>
  <si>
    <t xml:space="preserve">명세에 없는 동작 → 결과를 관찰사항으로 기록</t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</si>
  <si>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경계값</t>
    </r>
    <r>
      <rPr>
        <sz val="10"/>
        <rFont val="Arial"/>
        <family val="0"/>
        <charset val="1"/>
      </rPr>
      <t xml:space="preserve">-002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</si>
  <si>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기간목록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시작일과 종료일이 같은 하루</t>
    </r>
  </si>
  <si>
    <t xml:space="preserve">모든 항목의 기간이 해당 일자를 포함함</t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</si>
  <si>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형식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</si>
  <si>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기간목록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하이픈이 들어간 날짜 형식</t>
    </r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</si>
  <si>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탐색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</si>
  <si>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기간목록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과거 기간</t>
    </r>
    <r>
      <rPr>
        <sz val="10"/>
        <rFont val="Arial"/>
        <family val="0"/>
        <charset val="1"/>
      </rPr>
      <t xml:space="preserve">(2019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조회</t>
    </r>
  </si>
  <si>
    <r>
      <rPr>
        <sz val="10"/>
        <rFont val="Arial"/>
        <family val="0"/>
        <charset val="1"/>
      </rPr>
      <t xml:space="preserve">resultCode 00</t>
    </r>
    <r>
      <rPr>
        <sz val="10"/>
        <rFont val="Noto Sans CJK SC"/>
        <family val="2"/>
      </rPr>
      <t xml:space="preserve">으로 응답되고 건수가 리포트에 기록됨</t>
    </r>
  </si>
  <si>
    <t xml:space="preserve">탐색적</t>
  </si>
  <si>
    <r>
      <rPr>
        <sz val="10"/>
        <rFont val="Noto Sans CJK SC"/>
        <family val="2"/>
      </rPr>
      <t xml:space="preserve">관찰사항 </t>
    </r>
    <r>
      <rPr>
        <sz val="10"/>
        <rFont val="Arial"/>
        <family val="0"/>
        <charset val="1"/>
      </rPr>
      <t xml:space="preserve">OBS-003</t>
    </r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</si>
  <si>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페이징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</si>
  <si>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기간목록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한 페이지 결과 수 지정</t>
    </r>
  </si>
  <si>
    <r>
      <rPr>
        <sz val="10"/>
        <rFont val="Noto Sans CJK SC"/>
        <family val="2"/>
      </rPr>
      <t xml:space="preserve">항목이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건 이하이고 </t>
    </r>
    <r>
      <rPr>
        <sz val="10"/>
        <rFont val="Arial"/>
        <family val="0"/>
        <charset val="1"/>
      </rPr>
      <t xml:space="preserve">numOfrows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로 반환됨</t>
    </r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</si>
  <si>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페이징</t>
    </r>
    <r>
      <rPr>
        <sz val="10"/>
        <rFont val="Arial"/>
        <family val="0"/>
        <charset val="1"/>
      </rPr>
      <t xml:space="preserve">-002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</si>
  <si>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기간목록</t>
    </r>
    <r>
      <rPr>
        <sz val="10"/>
        <rFont val="Arial"/>
        <family val="0"/>
        <charset val="1"/>
      </rPr>
      <t xml:space="preserve">] 1·2</t>
    </r>
    <r>
      <rPr>
        <sz val="10"/>
        <rFont val="Noto Sans CJK SC"/>
        <family val="2"/>
      </rPr>
      <t xml:space="preserve">페이지 중복 여부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</si>
  <si>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페이지와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페이지의 </t>
    </r>
    <r>
      <rPr>
        <sz val="10"/>
        <rFont val="Arial"/>
        <family val="0"/>
        <charset val="1"/>
      </rPr>
      <t xml:space="preserve">seq</t>
    </r>
    <r>
      <rPr>
        <sz val="10"/>
        <rFont val="Noto Sans CJK SC"/>
        <family val="2"/>
      </rPr>
      <t xml:space="preserve">가 중복되지 않음</t>
    </r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</si>
  <si>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분야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값검증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</si>
  <si>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분야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분야명이 정의된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 중 하나</t>
    </r>
  </si>
  <si>
    <r>
      <rPr>
        <sz val="10"/>
        <rFont val="Noto Sans CJK SC"/>
        <family val="2"/>
      </rPr>
      <t xml:space="preserve">모든 항목의 </t>
    </r>
    <r>
      <rPr>
        <sz val="10"/>
        <rFont val="Arial"/>
        <family val="0"/>
        <charset val="1"/>
      </rPr>
      <t xml:space="preserve">realmName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 분야 안에 있음</t>
    </r>
  </si>
  <si>
    <t xml:space="preserve">tests/api/test_realm_area.py</t>
  </si>
  <si>
    <t xml:space="preserve">요청 파라미터 확인 없이 실행 가능</t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</si>
  <si>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분야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동등분할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</si>
  <si>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분야</t>
    </r>
    <r>
      <rPr>
        <sz val="10"/>
        <rFont val="Arial"/>
        <family val="0"/>
        <charset val="1"/>
      </rPr>
      <t xml:space="preserve">] 12</t>
    </r>
    <r>
      <rPr>
        <sz val="10"/>
        <rFont val="Noto Sans CJK SC"/>
        <family val="2"/>
      </rPr>
      <t xml:space="preserve">개 분야별 목록 조회</t>
    </r>
  </si>
  <si>
    <r>
      <rPr>
        <sz val="10"/>
        <rFont val="Noto Sans CJK SC"/>
        <family val="2"/>
      </rPr>
      <t xml:space="preserve">각 분야 결과의 </t>
    </r>
    <r>
      <rPr>
        <sz val="10"/>
        <rFont val="Arial"/>
        <family val="0"/>
        <charset val="1"/>
      </rPr>
      <t xml:space="preserve">realmName</t>
    </r>
    <r>
      <rPr>
        <sz val="10"/>
        <rFont val="Noto Sans CJK SC"/>
        <family val="2"/>
      </rPr>
      <t xml:space="preserve">이 요청 분야와 일치함</t>
    </r>
  </si>
  <si>
    <r>
      <rPr>
        <sz val="10"/>
        <rFont val="Noto Sans CJK SC"/>
        <family val="2"/>
      </rPr>
      <t xml:space="preserve">분야 코드 입력 전까지 </t>
    </r>
    <r>
      <rPr>
        <sz val="10"/>
        <rFont val="Arial"/>
        <family val="0"/>
        <charset val="1"/>
      </rPr>
      <t xml:space="preserve">SKIP / 12</t>
    </r>
    <r>
      <rPr>
        <sz val="10"/>
        <rFont val="Noto Sans CJK SC"/>
        <family val="2"/>
      </rPr>
      <t xml:space="preserve">회 실행</t>
    </r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</si>
  <si>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</si>
  <si>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지역별 목록 조회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</si>
  <si>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결과 항목의 </t>
    </r>
    <r>
      <rPr>
        <sz val="10"/>
        <rFont val="Arial"/>
        <family val="0"/>
        <charset val="1"/>
      </rPr>
      <t xml:space="preserve">area</t>
    </r>
    <r>
      <rPr>
        <sz val="10"/>
        <rFont val="Noto Sans CJK SC"/>
        <family val="2"/>
      </rPr>
      <t xml:space="preserve">가 요청 지역과 일치함</t>
    </r>
  </si>
  <si>
    <t xml:space="preserve">파라미터 이름 확인 필요</t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</si>
  <si>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상세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목록과 상세정보 일치</t>
    </r>
  </si>
  <si>
    <r>
      <rPr>
        <sz val="10"/>
        <rFont val="Noto Sans CJK SC"/>
        <family val="2"/>
      </rPr>
      <t xml:space="preserve">목록과 같은 </t>
    </r>
    <r>
      <rPr>
        <sz val="10"/>
        <rFont val="Arial"/>
        <family val="0"/>
        <charset val="1"/>
      </rPr>
      <t xml:space="preserve">title·place·</t>
    </r>
    <r>
      <rPr>
        <sz val="10"/>
        <rFont val="Noto Sans CJK SC"/>
        <family val="2"/>
      </rPr>
      <t xml:space="preserve">기간이 반환됨</t>
    </r>
  </si>
  <si>
    <t xml:space="preserve">tests/api/test_detail.py</t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</si>
  <si>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상세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예외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</si>
  <si>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상세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존재하지 않는 일련번호</t>
    </r>
  </si>
  <si>
    <r>
      <rPr>
        <sz val="10"/>
        <rFont val="Noto Sans CJK SC"/>
        <family val="2"/>
      </rPr>
      <t xml:space="preserve">서버 오류</t>
    </r>
    <r>
      <rPr>
        <sz val="10"/>
        <rFont val="Arial"/>
        <family val="0"/>
        <charset val="1"/>
      </rPr>
      <t xml:space="preserve">(5xx) </t>
    </r>
    <r>
      <rPr>
        <sz val="10"/>
        <rFont val="Noto Sans CJK SC"/>
        <family val="2"/>
      </rPr>
      <t xml:space="preserve">없이 항목이 반환되지 않음</t>
    </r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</si>
  <si>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인증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예외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</si>
  <si>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인증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인증키 누락</t>
    </r>
  </si>
  <si>
    <t xml:space="preserve">목록이 반환되지 않고 정상 응답이 아님</t>
  </si>
  <si>
    <t xml:space="preserve">tests/api/test_auth.py</t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</si>
  <si>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인증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예외</t>
    </r>
    <r>
      <rPr>
        <sz val="10"/>
        <rFont val="Arial"/>
        <family val="0"/>
        <charset val="1"/>
      </rPr>
      <t xml:space="preserve">-002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</si>
  <si>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인증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등록되지 않은 인증키</t>
    </r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</si>
  <si>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스키마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</si>
  <si>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스키마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응답 필수 필드 포함</t>
    </r>
  </si>
  <si>
    <r>
      <rPr>
        <sz val="10"/>
        <rFont val="Arial"/>
        <family val="0"/>
        <charset val="1"/>
      </rPr>
      <t xml:space="preserve">resultMsg·totalCount</t>
    </r>
    <r>
      <rPr>
        <sz val="10"/>
        <rFont val="Noto Sans CJK SC"/>
        <family val="2"/>
      </rPr>
      <t xml:space="preserve">와 항목별 필수 필드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개가 포함됨</t>
    </r>
  </si>
  <si>
    <t xml:space="preserve">tests/api/test_schema.py</t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</si>
  <si>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형식</t>
    </r>
    <r>
      <rPr>
        <sz val="10"/>
        <rFont val="Arial"/>
        <family val="0"/>
        <charset val="1"/>
      </rPr>
      <t xml:space="preserve">-001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</si>
  <si>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날짜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자리와 선후관계</t>
    </r>
  </si>
  <si>
    <r>
      <rPr>
        <sz val="10"/>
        <rFont val="Arial"/>
        <family val="0"/>
        <charset val="1"/>
      </rPr>
      <t xml:space="preserve">startDate·endDate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자리이고 시작일이 종료일 이하임</t>
    </r>
  </si>
  <si>
    <r>
      <rPr>
        <sz val="10"/>
        <rFont val="Arial"/>
        <family val="0"/>
        <charset val="1"/>
      </rPr>
      <t xml:space="preserve">API-</t>
    </r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형식</t>
    </r>
    <r>
      <rPr>
        <sz val="10"/>
        <rFont val="Arial"/>
        <family val="0"/>
        <charset val="1"/>
      </rPr>
      <t xml:space="preserve">-002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</si>
  <si>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좌표가 국내 범위</t>
    </r>
  </si>
  <si>
    <r>
      <rPr>
        <sz val="10"/>
        <rFont val="Noto Sans CJK SC"/>
        <family val="2"/>
      </rPr>
      <t xml:space="preserve">좌표가 있는 항목의 경도 </t>
    </r>
    <r>
      <rPr>
        <sz val="10"/>
        <rFont val="Arial"/>
        <family val="0"/>
        <charset val="1"/>
      </rPr>
      <t xml:space="preserve">124~132, </t>
    </r>
    <r>
      <rPr>
        <sz val="10"/>
        <rFont val="Noto Sans CJK SC"/>
        <family val="2"/>
      </rPr>
      <t xml:space="preserve">위도 </t>
    </r>
    <r>
      <rPr>
        <sz val="10"/>
        <rFont val="Arial"/>
        <family val="0"/>
        <charset val="1"/>
      </rPr>
      <t xml:space="preserve">33~39 </t>
    </r>
    <r>
      <rPr>
        <sz val="10"/>
        <rFont val="Noto Sans CJK SC"/>
        <family val="2"/>
      </rPr>
      <t xml:space="preserve">범위 안에 있음</t>
    </r>
  </si>
  <si>
    <r>
      <rPr>
        <sz val="10"/>
        <rFont val="Arial"/>
        <family val="0"/>
        <charset val="1"/>
      </rPr>
      <t xml:space="preserve">[API][</t>
    </r>
    <r>
      <rPr>
        <sz val="10"/>
        <rFont val="Noto Sans CJK SC"/>
        <family val="2"/>
      </rPr>
      <t xml:space="preserve">캘린더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문화캘린더 목록 조회</t>
    </r>
  </si>
  <si>
    <r>
      <rPr>
        <sz val="10"/>
        <rFont val="Arial"/>
        <family val="0"/>
        <charset val="1"/>
      </rPr>
      <t xml:space="preserve">resultCode 00</t>
    </r>
    <r>
      <rPr>
        <sz val="10"/>
        <rFont val="Noto Sans CJK SC"/>
        <family val="2"/>
      </rPr>
      <t xml:space="preserve">이 반환됨</t>
    </r>
  </si>
  <si>
    <t xml:space="preserve">tests/api/test_calendar_api.py</t>
  </si>
  <si>
    <t xml:space="preserve">파라미터 확인 필요</t>
  </si>
  <si>
    <r>
      <rPr>
        <b val="true"/>
        <sz val="10"/>
        <color rgb="FFFFFFFF"/>
        <rFont val="Noto Sans CJK SC"/>
        <family val="2"/>
      </rPr>
      <t xml:space="preserve">태그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코드</t>
    </r>
  </si>
  <si>
    <t xml:space="preserve">예시값</t>
  </si>
  <si>
    <t xml:space="preserve">설명</t>
  </si>
  <si>
    <t xml:space="preserve">공통</t>
  </si>
  <si>
    <t xml:space="preserve">Endpoint</t>
  </si>
  <si>
    <t xml:space="preserve">https://apis.data.go.kr/B553457/cultureinfo</t>
  </si>
  <si>
    <r>
      <rPr>
        <sz val="10"/>
        <rFont val="Noto Sans CJK SC"/>
        <family val="2"/>
      </rPr>
      <t xml:space="preserve">오퍼레이션</t>
    </r>
    <r>
      <rPr>
        <sz val="10"/>
        <rFont val="Arial"/>
        <family val="0"/>
        <charset val="1"/>
      </rPr>
      <t xml:space="preserve">: period2, area2, realm2, detail2, livelihood2</t>
    </r>
  </si>
  <si>
    <t xml:space="preserve">요청</t>
  </si>
  <si>
    <t xml:space="preserve">serviceKey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</si>
  <si>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비공개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</si>
  <si>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.env / GitHub Secrets </t>
    </r>
    <r>
      <rPr>
        <sz val="10"/>
        <rFont val="Noto Sans CJK SC"/>
        <family val="2"/>
      </rPr>
      <t xml:space="preserve">로 관리</t>
    </r>
  </si>
  <si>
    <t xml:space="preserve">from / to</t>
  </si>
  <si>
    <t xml:space="preserve">20190616 / 20191231</t>
  </si>
  <si>
    <r>
      <rPr>
        <sz val="10"/>
        <rFont val="Noto Sans CJK SC"/>
        <family val="2"/>
      </rPr>
      <t xml:space="preserve">조회 시작일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종료일 </t>
    </r>
    <r>
      <rPr>
        <sz val="10"/>
        <rFont val="Arial"/>
        <family val="0"/>
        <charset val="1"/>
      </rPr>
      <t xml:space="preserve">(YYYYMMDD)</t>
    </r>
  </si>
  <si>
    <t xml:space="preserve">cPage / rows</t>
  </si>
  <si>
    <t xml:space="preserve">1 / 10</t>
  </si>
  <si>
    <r>
      <rPr>
        <sz val="10"/>
        <rFont val="Noto Sans CJK SC"/>
        <family val="2"/>
      </rPr>
      <t xml:space="preserve">페이지 번호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한 페이지 결과 수</t>
    </r>
  </si>
  <si>
    <t xml:space="preserve">header</t>
  </si>
  <si>
    <t xml:space="preserve">resultCode</t>
  </si>
  <si>
    <t xml:space="preserve">00</t>
  </si>
  <si>
    <r>
      <rPr>
        <sz val="10"/>
        <rFont val="Noto Sans CJK SC"/>
        <family val="2"/>
      </rPr>
      <t xml:space="preserve">결과코드 </t>
    </r>
    <r>
      <rPr>
        <sz val="10"/>
        <rFont val="Arial"/>
        <family val="0"/>
        <charset val="1"/>
      </rPr>
      <t xml:space="preserve">(00 = 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)</t>
    </r>
  </si>
  <si>
    <t xml:space="preserve">resultMsg</t>
  </si>
  <si>
    <r>
      <rPr>
        <sz val="10"/>
        <rFont val="Noto Sans CJK SC"/>
        <family val="2"/>
      </rPr>
      <t xml:space="preserve">정상입니다</t>
    </r>
    <r>
      <rPr>
        <sz val="10"/>
        <rFont val="Arial"/>
        <family val="0"/>
        <charset val="1"/>
      </rPr>
      <t xml:space="preserve">.</t>
    </r>
  </si>
  <si>
    <t xml:space="preserve">결과메시지</t>
  </si>
  <si>
    <t xml:space="preserve">body</t>
  </si>
  <si>
    <t xml:space="preserve">totalCount</t>
  </si>
  <si>
    <t xml:space="preserve">1</t>
  </si>
  <si>
    <t xml:space="preserve">전체 결과 수</t>
  </si>
  <si>
    <t xml:space="preserve">PageNo</t>
  </si>
  <si>
    <r>
      <rPr>
        <sz val="10"/>
        <rFont val="Noto Sans CJK SC"/>
        <family val="2"/>
      </rPr>
      <t xml:space="preserve">페이지 번호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대문자 </t>
    </r>
    <r>
      <rPr>
        <sz val="10"/>
        <rFont val="Arial"/>
        <family val="0"/>
        <charset val="1"/>
      </rPr>
      <t xml:space="preserve">P)</t>
    </r>
  </si>
  <si>
    <t xml:space="preserve">numOfrows</t>
  </si>
  <si>
    <t xml:space="preserve">10</t>
  </si>
  <si>
    <r>
      <rPr>
        <sz val="10"/>
        <rFont val="Noto Sans CJK SC"/>
        <family val="2"/>
      </rPr>
      <t xml:space="preserve">한 페이지 결과 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소문자 </t>
    </r>
    <r>
      <rPr>
        <sz val="10"/>
        <rFont val="Arial"/>
        <family val="0"/>
        <charset val="1"/>
      </rPr>
      <t xml:space="preserve">r)</t>
    </r>
  </si>
  <si>
    <t xml:space="preserve">item</t>
  </si>
  <si>
    <t xml:space="preserve">serviceName</t>
  </si>
  <si>
    <t xml:space="preserve">전시</t>
  </si>
  <si>
    <t xml:space="preserve">서비스 구분</t>
  </si>
  <si>
    <t xml:space="preserve">seq</t>
  </si>
  <si>
    <t xml:space="preserve">151965</t>
  </si>
  <si>
    <r>
      <rPr>
        <sz val="10"/>
        <rFont val="Noto Sans CJK SC"/>
        <family val="2"/>
      </rPr>
      <t xml:space="preserve">일련번호 — </t>
    </r>
    <r>
      <rPr>
        <sz val="10"/>
        <rFont val="Arial"/>
        <family val="0"/>
        <charset val="1"/>
      </rPr>
      <t xml:space="preserve">detail2 </t>
    </r>
    <r>
      <rPr>
        <sz val="10"/>
        <rFont val="Noto Sans CJK SC"/>
        <family val="2"/>
      </rPr>
      <t xml:space="preserve">조회 키</t>
    </r>
  </si>
  <si>
    <t xml:space="preserve">title</t>
  </si>
  <si>
    <r>
      <rPr>
        <sz val="10"/>
        <rFont val="Noto Sans CJK SC"/>
        <family val="2"/>
      </rPr>
      <t xml:space="preserve">토비아스 레베르거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가끔이나마 내 마음대로 할 수 있는 곳은 나 자신뿐이다 展</t>
    </r>
  </si>
  <si>
    <t xml:space="preserve">startDate</t>
  </si>
  <si>
    <t xml:space="preserve">20190616</t>
  </si>
  <si>
    <t xml:space="preserve">시작일</t>
  </si>
  <si>
    <t xml:space="preserve">endDate</t>
  </si>
  <si>
    <t xml:space="preserve">20191231</t>
  </si>
  <si>
    <t xml:space="preserve">종료일</t>
  </si>
  <si>
    <t xml:space="preserve">place</t>
  </si>
  <si>
    <t xml:space="preserve">부산현대미술관</t>
  </si>
  <si>
    <t xml:space="preserve">장소</t>
  </si>
  <si>
    <t xml:space="preserve">realmName</t>
  </si>
  <si>
    <t xml:space="preserve">분야명</t>
  </si>
  <si>
    <t xml:space="preserve">area</t>
  </si>
  <si>
    <t xml:space="preserve">부산</t>
  </si>
  <si>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)</t>
    </r>
  </si>
  <si>
    <t xml:space="preserve">sigungu</t>
  </si>
  <si>
    <t xml:space="preserve">사하구</t>
  </si>
  <si>
    <t xml:space="preserve">시군구</t>
  </si>
  <si>
    <t xml:space="preserve">thumbnail</t>
  </si>
  <si>
    <t xml:space="preserve">http://www.culture.go.kr/upload/rdf/19/07/rdf_201907311133289116.jpg</t>
  </si>
  <si>
    <r>
      <rPr>
        <sz val="10"/>
        <rFont val="Noto Sans CJK SC"/>
        <family val="2"/>
      </rPr>
      <t xml:space="preserve">썸네일 </t>
    </r>
    <r>
      <rPr>
        <sz val="10"/>
        <rFont val="Arial"/>
        <family val="0"/>
        <charset val="1"/>
      </rPr>
      <t xml:space="preserve">URL</t>
    </r>
  </si>
  <si>
    <t xml:space="preserve">gpsX</t>
  </si>
  <si>
    <t xml:space="preserve">128.9427422591895</t>
  </si>
  <si>
    <t xml:space="preserve">경도</t>
  </si>
  <si>
    <t xml:space="preserve">gpsY</t>
  </si>
  <si>
    <t xml:space="preserve">35.10921642590141</t>
  </si>
  <si>
    <t xml:space="preserve">위도</t>
  </si>
  <si>
    <t xml:space="preserve">에러</t>
  </si>
  <si>
    <t xml:space="preserve">INVALID_REQUEST_PARAMETER_ERROR</t>
  </si>
  <si>
    <r>
      <rPr>
        <sz val="10"/>
        <rFont val="Noto Sans CJK SC"/>
        <family val="2"/>
      </rPr>
      <t xml:space="preserve">요청 파라미터 값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형식 오류</t>
    </r>
  </si>
  <si>
    <t xml:space="preserve">20</t>
  </si>
  <si>
    <t xml:space="preserve">SERVICE_KEY_IS_NULL</t>
  </si>
  <si>
    <t xml:space="preserve">인증키 누락</t>
  </si>
  <si>
    <t xml:space="preserve">22</t>
  </si>
  <si>
    <t xml:space="preserve">LIMITED_NUMBER_OF_SERVICE_REQUESTS_EXCEEDS_ERROR</t>
  </si>
  <si>
    <t xml:space="preserve">일일 호출량 초과</t>
  </si>
  <si>
    <t xml:space="preserve">23</t>
  </si>
  <si>
    <t xml:space="preserve">LIMITED_NUMBER_OF_SERVICE_REQUESTS_PER_SECOND_EXCEEDS_ERROR</t>
  </si>
  <si>
    <r>
      <rPr>
        <sz val="10"/>
        <rFont val="Noto Sans CJK SC"/>
        <family val="2"/>
      </rPr>
      <t xml:space="preserve">초당 호출량 초과 → 호출 간격 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초</t>
    </r>
  </si>
  <si>
    <t xml:space="preserve">30</t>
  </si>
  <si>
    <t xml:space="preserve">SERVICE_KEY_IS_NOT_REGISTERED_ERROR</t>
  </si>
  <si>
    <t xml:space="preserve">등록되지 않은 인증키</t>
  </si>
  <si>
    <t xml:space="preserve">31</t>
  </si>
  <si>
    <t xml:space="preserve">DEADLINE_HAS_EXPIRED_ERROR</t>
  </si>
  <si>
    <r>
      <rPr>
        <sz val="10"/>
        <rFont val="Noto Sans CJK SC"/>
        <family val="2"/>
      </rPr>
      <t xml:space="preserve">인증키 기한 만료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활용기간 </t>
    </r>
    <r>
      <rPr>
        <sz val="10"/>
        <rFont val="Arial"/>
        <family val="0"/>
        <charset val="1"/>
      </rPr>
      <t xml:space="preserve">2026-09-30 ~ 2028-09-30)</t>
    </r>
  </si>
  <si>
    <t xml:space="preserve">ID</t>
  </si>
  <si>
    <t xml:space="preserve">발견일</t>
  </si>
  <si>
    <t xml:space="preserve">대상</t>
  </si>
  <si>
    <t xml:space="preserve">관찰 내용</t>
  </si>
  <si>
    <t xml:space="preserve">재현 방법</t>
  </si>
  <si>
    <t xml:space="preserve">영향</t>
  </si>
  <si>
    <t xml:space="preserve">심각도</t>
  </si>
  <si>
    <t xml:space="preserve">상태</t>
  </si>
  <si>
    <t xml:space="preserve">OBS-001</t>
  </si>
  <si>
    <t xml:space="preserve">2026-09-30</t>
  </si>
  <si>
    <r>
      <rPr>
        <sz val="10"/>
        <rFont val="Arial"/>
        <family val="0"/>
        <charset val="1"/>
      </rPr>
      <t xml:space="preserve">period2 </t>
    </r>
    <r>
      <rPr>
        <sz val="10"/>
        <rFont val="Noto Sans CJK SC"/>
        <family val="2"/>
      </rPr>
      <t xml:space="preserve">응답</t>
    </r>
  </si>
  <si>
    <r>
      <rPr>
        <sz val="10"/>
        <rFont val="Noto Sans CJK SC"/>
        <family val="2"/>
      </rPr>
      <t xml:space="preserve">요청 파라미터는 </t>
    </r>
    <r>
      <rPr>
        <sz val="10"/>
        <rFont val="Arial"/>
        <family val="0"/>
        <charset val="1"/>
      </rPr>
      <t xml:space="preserve">cPage·rows</t>
    </r>
    <r>
      <rPr>
        <sz val="10"/>
        <rFont val="Noto Sans CJK SC"/>
        <family val="2"/>
      </rPr>
      <t xml:space="preserve">인데 응답 태그는 </t>
    </r>
    <r>
      <rPr>
        <sz val="10"/>
        <rFont val="Arial"/>
        <family val="0"/>
        <charset val="1"/>
      </rPr>
      <t xml:space="preserve">PageNo·numOfrows</t>
    </r>
    <r>
      <rPr>
        <sz val="10"/>
        <rFont val="Noto Sans CJK SC"/>
        <family val="2"/>
      </rPr>
      <t xml:space="preserve">로 이름과 대소문자 표기가 일관되지 않음</t>
    </r>
  </si>
  <si>
    <r>
      <rPr>
        <sz val="10"/>
        <rFont val="Arial"/>
        <family val="0"/>
        <charset val="1"/>
      </rPr>
      <t xml:space="preserve">period2 </t>
    </r>
    <r>
      <rPr>
        <sz val="10"/>
        <rFont val="Noto Sans CJK SC"/>
        <family val="2"/>
      </rPr>
      <t xml:space="preserve">정상 호출 후 </t>
    </r>
    <r>
      <rPr>
        <sz val="10"/>
        <rFont val="Arial"/>
        <family val="0"/>
        <charset val="1"/>
      </rPr>
      <t xml:space="preserve">body </t>
    </r>
    <r>
      <rPr>
        <sz val="10"/>
        <rFont val="Noto Sans CJK SC"/>
        <family val="2"/>
      </rPr>
      <t xml:space="preserve">태그 확인</t>
    </r>
  </si>
  <si>
    <t xml:space="preserve">클라이언트가 태그명을 잘못 해석할 가능성 있음</t>
  </si>
  <si>
    <t xml:space="preserve">낮음</t>
  </si>
  <si>
    <t xml:space="preserve">명세 확인 필요</t>
  </si>
  <si>
    <t xml:space="preserve">OBS-002</t>
  </si>
  <si>
    <r>
      <rPr>
        <sz val="10"/>
        <rFont val="Arial"/>
        <family val="0"/>
        <charset val="1"/>
      </rPr>
      <t xml:space="preserve">thumbnail URL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https</t>
    </r>
    <r>
      <rPr>
        <sz val="10"/>
        <rFont val="Noto Sans CJK SC"/>
        <family val="2"/>
      </rPr>
      <t xml:space="preserve">가 아닌 </t>
    </r>
    <r>
      <rPr>
        <sz val="10"/>
        <rFont val="Arial"/>
        <family val="0"/>
        <charset val="1"/>
      </rPr>
      <t xml:space="preserve">http</t>
    </r>
    <r>
      <rPr>
        <sz val="10"/>
        <rFont val="Noto Sans CJK SC"/>
        <family val="2"/>
      </rPr>
      <t xml:space="preserve">로 제공됨</t>
    </r>
  </si>
  <si>
    <r>
      <rPr>
        <sz val="10"/>
        <rFont val="Arial"/>
        <family val="0"/>
        <charset val="1"/>
      </rPr>
      <t xml:space="preserve">period2 </t>
    </r>
    <r>
      <rPr>
        <sz val="10"/>
        <rFont val="Noto Sans CJK SC"/>
        <family val="2"/>
      </rPr>
      <t xml:space="preserve">정상 호출 후 </t>
    </r>
    <r>
      <rPr>
        <sz val="10"/>
        <rFont val="Arial"/>
        <family val="0"/>
        <charset val="1"/>
      </rPr>
      <t xml:space="preserve">thumbnail </t>
    </r>
    <r>
      <rPr>
        <sz val="10"/>
        <rFont val="Noto Sans CJK SC"/>
        <family val="2"/>
      </rPr>
      <t xml:space="preserve">값 확인</t>
    </r>
  </si>
  <si>
    <r>
      <rPr>
        <sz val="10"/>
        <rFont val="Arial"/>
        <family val="0"/>
        <charset val="1"/>
      </rPr>
      <t xml:space="preserve">https </t>
    </r>
    <r>
      <rPr>
        <sz val="10"/>
        <rFont val="Noto Sans CJK SC"/>
        <family val="2"/>
      </rPr>
      <t xml:space="preserve">페이지에서 혼합 콘텐츠 경고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이미지 차단 가능성 있음</t>
    </r>
  </si>
  <si>
    <t xml:space="preserve">확인 필요</t>
  </si>
  <si>
    <t xml:space="preserve">OBS-003</t>
  </si>
  <si>
    <r>
      <rPr>
        <sz val="10"/>
        <rFont val="Arial"/>
        <family val="0"/>
        <charset val="1"/>
      </rPr>
      <t xml:space="preserve">2019-06-16 ~ 2019-12-31 </t>
    </r>
    <r>
      <rPr>
        <sz val="10"/>
        <rFont val="Noto Sans CJK SC"/>
        <family val="2"/>
      </rPr>
      <t xml:space="preserve">기간 조회 시 결과가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건뿐임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과거 데이터 보관 범위가 명세에 없음</t>
    </r>
  </si>
  <si>
    <r>
      <rPr>
        <sz val="10"/>
        <rFont val="Arial"/>
        <family val="0"/>
        <charset val="1"/>
      </rPr>
      <t xml:space="preserve">from=20190616, to=20191231</t>
    </r>
    <r>
      <rPr>
        <sz val="10"/>
        <rFont val="Noto Sans CJK SC"/>
        <family val="2"/>
      </rPr>
      <t xml:space="preserve">로 호출</t>
    </r>
  </si>
  <si>
    <t xml:space="preserve">과거 기간 조회 결과 부족을 오류로 오인할 수 있음</t>
  </si>
  <si>
    <t xml:space="preserve">정보</t>
  </si>
  <si>
    <t xml:space="preserve">기록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</si>
</sst>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9"/>
      <name val="Noto Sans CJK SC"/>
      <family val="2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9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3" t="s">
        <v>10</v>
      </c>
    </row>
    <row r="5" customFormat="false" ht="15" hidden="false" customHeight="false" outlineLevel="0" collapsed="false">
      <c r="A5" s="5" t="s">
        <v>11</v>
      </c>
      <c r="B5" s="5" t="n">
        <f aca="false">COUNTIFS(추적표!$B$2:$B$32,$A5,추적표!$K$2:$K$32,"1주")</f>
        <v>6</v>
      </c>
      <c r="C5" s="5" t="n">
        <f aca="false">COUNTIFS(추적표!$B$2:$B$32,$A5,추적표!$K$2:$K$32,"2주")</f>
        <v>6</v>
      </c>
      <c r="D5" s="5" t="n">
        <f aca="false">COUNTIF(추적표!$B$2:$B$32,$A5)</f>
        <v>12</v>
      </c>
      <c r="E5" s="5" t="n">
        <f aca="false">COUNTIFS(추적표!$B$2:$B$32,$A5,추적표!$J$2:$J$32,"Smoke")</f>
        <v>3</v>
      </c>
      <c r="F5" s="5" t="n">
        <f aca="false">COUNTIFS(추적표!$B$2:$B$32,$A5,추적표!$L$2:$L$32,"Pass")</f>
        <v>0</v>
      </c>
      <c r="G5" s="5" t="n">
        <f aca="false">COUNTIFS(추적표!$B$2:$B$32,$A5,추적표!$L$2:$L$32,"Fail")</f>
        <v>0</v>
      </c>
      <c r="H5" s="5" t="n">
        <f aca="false">COUNTIFS(추적표!$B$2:$B$32,$A5,추적표!$L$2:$L$32,"XFAIL")</f>
        <v>0</v>
      </c>
      <c r="I5" s="5" t="n">
        <f aca="false">COUNTIFS(추적표!$B$2:$B$32,$A5,추적표!$L$2:$L$32,"미실행")</f>
        <v>12</v>
      </c>
    </row>
    <row r="6" customFormat="false" ht="15" hidden="false" customHeight="false" outlineLevel="0" collapsed="false">
      <c r="A6" s="5" t="s">
        <v>12</v>
      </c>
      <c r="B6" s="5" t="n">
        <f aca="false">COUNTIFS(추적표!$B$2:$B$32,$A6,추적표!$K$2:$K$32,"1주")</f>
        <v>8</v>
      </c>
      <c r="C6" s="5" t="n">
        <f aca="false">COUNTIFS(추적표!$B$2:$B$32,$A6,추적표!$K$2:$K$32,"2주")</f>
        <v>11</v>
      </c>
      <c r="D6" s="5" t="n">
        <f aca="false">COUNTIF(추적표!$B$2:$B$32,$A6)</f>
        <v>19</v>
      </c>
      <c r="E6" s="5" t="n">
        <f aca="false">COUNTIFS(추적표!$B$2:$B$32,$A6,추적표!$J$2:$J$32,"Smoke")</f>
        <v>4</v>
      </c>
      <c r="F6" s="5" t="n">
        <f aca="false">COUNTIFS(추적표!$B$2:$B$32,$A6,추적표!$L$2:$L$32,"Pass")</f>
        <v>0</v>
      </c>
      <c r="G6" s="5" t="n">
        <f aca="false">COUNTIFS(추적표!$B$2:$B$32,$A6,추적표!$L$2:$L$32,"Fail")</f>
        <v>0</v>
      </c>
      <c r="H6" s="5" t="n">
        <f aca="false">COUNTIFS(추적표!$B$2:$B$32,$A6,추적표!$L$2:$L$32,"XFAIL")</f>
        <v>0</v>
      </c>
      <c r="I6" s="5" t="n">
        <f aca="false">COUNTIFS(추적표!$B$2:$B$32,$A6,추적표!$L$2:$L$32,"미실행")</f>
        <v>19</v>
      </c>
    </row>
    <row r="7" customFormat="false" ht="15" hidden="false" customHeight="false" outlineLevel="0" collapsed="false">
      <c r="A7" s="6" t="s">
        <v>5</v>
      </c>
      <c r="B7" s="6" t="n">
        <f aca="false">SUM(B5:B6)</f>
        <v>14</v>
      </c>
      <c r="C7" s="6" t="n">
        <f aca="false">SUM(C5:C6)</f>
        <v>17</v>
      </c>
      <c r="D7" s="6" t="n">
        <f aca="false">SUM(D5:D6)</f>
        <v>31</v>
      </c>
      <c r="E7" s="6" t="n">
        <f aca="false">SUM(E5:E6)</f>
        <v>7</v>
      </c>
      <c r="F7" s="6" t="n">
        <f aca="false">SUM(F5:F6)</f>
        <v>0</v>
      </c>
      <c r="G7" s="6" t="n">
        <f aca="false">SUM(G5:G6)</f>
        <v>0</v>
      </c>
      <c r="H7" s="6" t="n">
        <f aca="false">SUM(H5:H6)</f>
        <v>0</v>
      </c>
      <c r="I7" s="6" t="n">
        <f aca="false">SUM(I5:I6)</f>
        <v>31</v>
      </c>
    </row>
    <row r="9" customFormat="false" ht="15" hidden="false" customHeight="false" outlineLevel="0" collapsed="false">
      <c r="A9" s="7" t="s">
        <v>13</v>
      </c>
    </row>
    <row r="10" customFormat="false" ht="15" hidden="false" customHeight="false" outlineLevel="0" collapsed="false">
      <c r="A10" s="8" t="s">
        <v>14</v>
      </c>
      <c r="B10" s="8" t="s">
        <v>15</v>
      </c>
    </row>
    <row r="11" customFormat="false" ht="15" hidden="false" customHeight="false" outlineLevel="0" collapsed="false">
      <c r="A11" s="9" t="s">
        <v>16</v>
      </c>
      <c r="B11" s="9" t="n">
        <f aca="false">COUNTIF(자동화선정!$G$2:$G$41,A11)</f>
        <v>11</v>
      </c>
    </row>
    <row r="12" customFormat="false" ht="15" hidden="false" customHeight="false" outlineLevel="0" collapsed="false">
      <c r="A12" s="10" t="s">
        <v>17</v>
      </c>
      <c r="B12" s="10" t="n">
        <f aca="false">COUNTIF(자동화선정!$G$2:$G$41,A12)</f>
        <v>3</v>
      </c>
    </row>
    <row r="13" customFormat="false" ht="15" hidden="false" customHeight="false" outlineLevel="0" collapsed="false">
      <c r="A13" s="11" t="s">
        <v>18</v>
      </c>
      <c r="B13" s="11" t="n">
        <f aca="false">COUNTIF(자동화선정!$G$2:$G$41,A13)</f>
        <v>12</v>
      </c>
    </row>
    <row r="14" customFormat="false" ht="15" hidden="false" customHeight="false" outlineLevel="0" collapsed="false">
      <c r="A14" s="12" t="s">
        <v>19</v>
      </c>
      <c r="B14" s="12" t="n">
        <f aca="false">COUNTIF(자동화선정!$G$2:$G$41,A14)</f>
        <v>14</v>
      </c>
    </row>
    <row r="15" customFormat="false" ht="15" hidden="false" customHeight="false" outlineLevel="0" collapsed="false">
      <c r="A15" s="7" t="s">
        <v>5</v>
      </c>
      <c r="B15" s="7" t="n">
        <f aca="false">SUM(B11:B14)</f>
        <v>40</v>
      </c>
    </row>
    <row r="17" customFormat="false" ht="15" hidden="false" customHeight="false" outlineLevel="0" collapsed="false">
      <c r="A17" s="7" t="s">
        <v>20</v>
      </c>
    </row>
    <row r="18" customFormat="false" ht="15" hidden="false" customHeight="false" outlineLevel="0" collapsed="false">
      <c r="A18" s="13" t="s">
        <v>21</v>
      </c>
    </row>
    <row r="19" customFormat="false" ht="15" hidden="false" customHeight="false" outlineLevel="0" collapsed="false">
      <c r="A19" s="13" t="s">
        <v>22</v>
      </c>
    </row>
    <row r="20" customFormat="false" ht="15" hidden="false" customHeight="false" outlineLevel="0" collapsed="false">
      <c r="A20" s="13" t="s">
        <v>23</v>
      </c>
    </row>
    <row r="21" customFormat="false" ht="15" hidden="false" customHeight="false" outlineLevel="0" collapsed="false">
      <c r="A21" s="13" t="s">
        <v>24</v>
      </c>
    </row>
    <row r="22" customFormat="false" ht="15" hidden="false" customHeight="false" outlineLevel="0" collapsed="false">
      <c r="A22" s="1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46"/>
    <col collapsed="false" customWidth="true" hidden="false" outlineLevel="0" max="9" min="9" style="0" width="30"/>
  </cols>
  <sheetData>
    <row r="1" customFormat="false" ht="29.85" hidden="false" customHeight="false" outlineLevel="0" collapsed="false">
      <c r="A1" s="14" t="s">
        <v>26</v>
      </c>
      <c r="B1" s="14" t="s">
        <v>27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</row>
    <row r="2" customFormat="false" ht="29.85" hidden="false" customHeight="false" outlineLevel="0" collapsed="false">
      <c r="A2" s="15" t="s">
        <v>35</v>
      </c>
      <c r="B2" s="16" t="s">
        <v>36</v>
      </c>
      <c r="C2" s="16" t="s">
        <v>37</v>
      </c>
      <c r="D2" s="16" t="s">
        <v>38</v>
      </c>
      <c r="E2" s="15" t="s">
        <v>8</v>
      </c>
      <c r="F2" s="15" t="s">
        <v>39</v>
      </c>
      <c r="G2" s="17" t="s">
        <v>16</v>
      </c>
      <c r="H2" s="16" t="s">
        <v>40</v>
      </c>
      <c r="I2" s="15" t="s">
        <v>41</v>
      </c>
    </row>
    <row r="3" customFormat="false" ht="29.85" hidden="false" customHeight="false" outlineLevel="0" collapsed="false">
      <c r="A3" s="15" t="s">
        <v>42</v>
      </c>
      <c r="B3" s="16" t="s">
        <v>36</v>
      </c>
      <c r="C3" s="16" t="s">
        <v>43</v>
      </c>
      <c r="D3" s="16" t="s">
        <v>38</v>
      </c>
      <c r="E3" s="15" t="s">
        <v>8</v>
      </c>
      <c r="F3" s="15" t="s">
        <v>44</v>
      </c>
      <c r="G3" s="17" t="s">
        <v>16</v>
      </c>
      <c r="H3" s="16" t="s">
        <v>45</v>
      </c>
      <c r="I3" s="15" t="s">
        <v>46</v>
      </c>
    </row>
    <row r="4" customFormat="false" ht="29.85" hidden="false" customHeight="false" outlineLevel="0" collapsed="false">
      <c r="A4" s="15" t="s">
        <v>47</v>
      </c>
      <c r="B4" s="16" t="s">
        <v>36</v>
      </c>
      <c r="C4" s="16" t="s">
        <v>48</v>
      </c>
      <c r="D4" s="16" t="s">
        <v>49</v>
      </c>
      <c r="E4" s="15" t="s">
        <v>8</v>
      </c>
      <c r="F4" s="15" t="s">
        <v>50</v>
      </c>
      <c r="G4" s="17" t="s">
        <v>16</v>
      </c>
      <c r="H4" s="16" t="s">
        <v>51</v>
      </c>
      <c r="I4" s="15" t="s">
        <v>52</v>
      </c>
    </row>
    <row r="5" customFormat="false" ht="29.85" hidden="false" customHeight="false" outlineLevel="0" collapsed="false">
      <c r="A5" s="15" t="s">
        <v>53</v>
      </c>
      <c r="B5" s="16" t="s">
        <v>36</v>
      </c>
      <c r="C5" s="16" t="s">
        <v>54</v>
      </c>
      <c r="D5" s="16" t="s">
        <v>55</v>
      </c>
      <c r="E5" s="15" t="s">
        <v>7</v>
      </c>
      <c r="F5" s="15" t="s">
        <v>56</v>
      </c>
      <c r="G5" s="17" t="s">
        <v>16</v>
      </c>
      <c r="H5" s="16" t="s">
        <v>57</v>
      </c>
      <c r="I5" s="15" t="s">
        <v>58</v>
      </c>
    </row>
    <row r="6" customFormat="false" ht="29.85" hidden="false" customHeight="false" outlineLevel="0" collapsed="false">
      <c r="A6" s="15" t="s">
        <v>59</v>
      </c>
      <c r="B6" s="16" t="s">
        <v>36</v>
      </c>
      <c r="C6" s="16" t="s">
        <v>60</v>
      </c>
      <c r="D6" s="16" t="s">
        <v>61</v>
      </c>
      <c r="E6" s="15" t="s">
        <v>7</v>
      </c>
      <c r="F6" s="15" t="s">
        <v>56</v>
      </c>
      <c r="G6" s="17" t="s">
        <v>16</v>
      </c>
      <c r="H6" s="16" t="s">
        <v>62</v>
      </c>
      <c r="I6" s="15" t="s">
        <v>63</v>
      </c>
    </row>
    <row r="7" customFormat="false" ht="29.85" hidden="false" customHeight="false" outlineLevel="0" collapsed="false">
      <c r="A7" s="15" t="s">
        <v>64</v>
      </c>
      <c r="B7" s="16" t="s">
        <v>36</v>
      </c>
      <c r="C7" s="16" t="s">
        <v>65</v>
      </c>
      <c r="D7" s="16" t="s">
        <v>66</v>
      </c>
      <c r="E7" s="15" t="s">
        <v>7</v>
      </c>
      <c r="F7" s="15" t="s">
        <v>56</v>
      </c>
      <c r="G7" s="18" t="s">
        <v>18</v>
      </c>
      <c r="H7" s="15" t="s">
        <v>67</v>
      </c>
      <c r="I7" s="15" t="s">
        <v>56</v>
      </c>
    </row>
    <row r="8" customFormat="false" ht="29.85" hidden="false" customHeight="false" outlineLevel="0" collapsed="false">
      <c r="A8" s="15" t="s">
        <v>68</v>
      </c>
      <c r="B8" s="16" t="s">
        <v>36</v>
      </c>
      <c r="C8" s="16" t="s">
        <v>69</v>
      </c>
      <c r="D8" s="16" t="s">
        <v>70</v>
      </c>
      <c r="E8" s="15" t="s">
        <v>7</v>
      </c>
      <c r="F8" s="15" t="s">
        <v>56</v>
      </c>
      <c r="G8" s="19" t="s">
        <v>17</v>
      </c>
      <c r="H8" s="16" t="s">
        <v>71</v>
      </c>
      <c r="I8" s="15" t="s">
        <v>72</v>
      </c>
    </row>
    <row r="9" customFormat="false" ht="29.85" hidden="false" customHeight="false" outlineLevel="0" collapsed="false">
      <c r="A9" s="15" t="s">
        <v>73</v>
      </c>
      <c r="B9" s="16" t="s">
        <v>36</v>
      </c>
      <c r="C9" s="16" t="s">
        <v>74</v>
      </c>
      <c r="D9" s="16" t="s">
        <v>75</v>
      </c>
      <c r="E9" s="15" t="s">
        <v>7</v>
      </c>
      <c r="F9" s="15" t="s">
        <v>56</v>
      </c>
      <c r="G9" s="18" t="s">
        <v>18</v>
      </c>
      <c r="H9" s="15" t="s">
        <v>76</v>
      </c>
      <c r="I9" s="15" t="s">
        <v>56</v>
      </c>
    </row>
    <row r="10" customFormat="false" ht="29.85" hidden="false" customHeight="false" outlineLevel="0" collapsed="false">
      <c r="A10" s="15" t="s">
        <v>77</v>
      </c>
      <c r="B10" s="16" t="s">
        <v>36</v>
      </c>
      <c r="C10" s="16" t="s">
        <v>78</v>
      </c>
      <c r="D10" s="16" t="s">
        <v>79</v>
      </c>
      <c r="E10" s="15" t="s">
        <v>7</v>
      </c>
      <c r="F10" s="15" t="s">
        <v>56</v>
      </c>
      <c r="G10" s="18" t="s">
        <v>18</v>
      </c>
      <c r="H10" s="15" t="s">
        <v>80</v>
      </c>
      <c r="I10" s="15" t="s">
        <v>56</v>
      </c>
    </row>
    <row r="11" customFormat="false" ht="29.85" hidden="false" customHeight="false" outlineLevel="0" collapsed="false">
      <c r="A11" s="15" t="s">
        <v>81</v>
      </c>
      <c r="B11" s="16" t="s">
        <v>36</v>
      </c>
      <c r="C11" s="16" t="s">
        <v>82</v>
      </c>
      <c r="D11" s="16" t="s">
        <v>83</v>
      </c>
      <c r="E11" s="15" t="s">
        <v>7</v>
      </c>
      <c r="F11" s="15" t="s">
        <v>56</v>
      </c>
      <c r="G11" s="17" t="s">
        <v>16</v>
      </c>
      <c r="H11" s="16" t="s">
        <v>84</v>
      </c>
      <c r="I11" s="15" t="s">
        <v>85</v>
      </c>
    </row>
    <row r="12" customFormat="false" ht="29.85" hidden="false" customHeight="false" outlineLevel="0" collapsed="false">
      <c r="A12" s="15" t="s">
        <v>86</v>
      </c>
      <c r="B12" s="16" t="s">
        <v>36</v>
      </c>
      <c r="C12" s="16" t="s">
        <v>87</v>
      </c>
      <c r="D12" s="16" t="s">
        <v>88</v>
      </c>
      <c r="E12" s="16" t="s">
        <v>89</v>
      </c>
      <c r="F12" s="15" t="s">
        <v>56</v>
      </c>
      <c r="G12" s="18" t="s">
        <v>18</v>
      </c>
      <c r="H12" s="16" t="s">
        <v>90</v>
      </c>
      <c r="I12" s="15" t="s">
        <v>56</v>
      </c>
    </row>
    <row r="13" customFormat="false" ht="29.85" hidden="false" customHeight="false" outlineLevel="0" collapsed="false">
      <c r="A13" s="15" t="s">
        <v>91</v>
      </c>
      <c r="B13" s="16" t="s">
        <v>36</v>
      </c>
      <c r="C13" s="16" t="s">
        <v>92</v>
      </c>
      <c r="D13" s="16" t="s">
        <v>93</v>
      </c>
      <c r="E13" s="16" t="s">
        <v>89</v>
      </c>
      <c r="F13" s="15" t="s">
        <v>56</v>
      </c>
      <c r="G13" s="18" t="s">
        <v>18</v>
      </c>
      <c r="H13" s="16" t="s">
        <v>94</v>
      </c>
      <c r="I13" s="15" t="s">
        <v>56</v>
      </c>
    </row>
    <row r="14" customFormat="false" ht="15" hidden="false" customHeight="false" outlineLevel="0" collapsed="false">
      <c r="A14" s="15" t="s">
        <v>95</v>
      </c>
      <c r="B14" s="16" t="s">
        <v>96</v>
      </c>
      <c r="C14" s="16" t="s">
        <v>97</v>
      </c>
      <c r="D14" s="16" t="s">
        <v>98</v>
      </c>
      <c r="E14" s="16" t="s">
        <v>89</v>
      </c>
      <c r="F14" s="15" t="s">
        <v>56</v>
      </c>
      <c r="G14" s="20" t="s">
        <v>19</v>
      </c>
      <c r="H14" s="16" t="s">
        <v>99</v>
      </c>
      <c r="I14" s="15" t="s">
        <v>56</v>
      </c>
    </row>
    <row r="15" customFormat="false" ht="44" hidden="false" customHeight="false" outlineLevel="0" collapsed="false">
      <c r="A15" s="15" t="s">
        <v>100</v>
      </c>
      <c r="B15" s="16" t="s">
        <v>96</v>
      </c>
      <c r="C15" s="16" t="s">
        <v>101</v>
      </c>
      <c r="D15" s="16" t="s">
        <v>102</v>
      </c>
      <c r="E15" s="16" t="s">
        <v>89</v>
      </c>
      <c r="F15" s="15" t="s">
        <v>56</v>
      </c>
      <c r="G15" s="17" t="s">
        <v>16</v>
      </c>
      <c r="H15" s="16" t="s">
        <v>103</v>
      </c>
      <c r="I15" s="15" t="s">
        <v>104</v>
      </c>
    </row>
    <row r="16" customFormat="false" ht="29.85" hidden="false" customHeight="false" outlineLevel="0" collapsed="false">
      <c r="A16" s="15" t="s">
        <v>105</v>
      </c>
      <c r="B16" s="16" t="s">
        <v>96</v>
      </c>
      <c r="C16" s="16" t="s">
        <v>106</v>
      </c>
      <c r="D16" s="16" t="s">
        <v>107</v>
      </c>
      <c r="E16" s="16" t="s">
        <v>89</v>
      </c>
      <c r="F16" s="15" t="s">
        <v>56</v>
      </c>
      <c r="G16" s="17" t="s">
        <v>16</v>
      </c>
      <c r="H16" s="16" t="s">
        <v>108</v>
      </c>
      <c r="I16" s="15" t="s">
        <v>109</v>
      </c>
    </row>
    <row r="17" customFormat="false" ht="29.85" hidden="false" customHeight="false" outlineLevel="0" collapsed="false">
      <c r="A17" s="15" t="s">
        <v>110</v>
      </c>
      <c r="B17" s="16" t="s">
        <v>96</v>
      </c>
      <c r="C17" s="16" t="s">
        <v>111</v>
      </c>
      <c r="D17" s="16" t="s">
        <v>112</v>
      </c>
      <c r="E17" s="16" t="s">
        <v>89</v>
      </c>
      <c r="F17" s="15" t="s">
        <v>56</v>
      </c>
      <c r="G17" s="17" t="s">
        <v>16</v>
      </c>
      <c r="H17" s="16" t="s">
        <v>113</v>
      </c>
      <c r="I17" s="15" t="s">
        <v>114</v>
      </c>
    </row>
    <row r="18" customFormat="false" ht="29.85" hidden="false" customHeight="false" outlineLevel="0" collapsed="false">
      <c r="A18" s="15" t="s">
        <v>115</v>
      </c>
      <c r="B18" s="16" t="s">
        <v>96</v>
      </c>
      <c r="C18" s="16" t="s">
        <v>116</v>
      </c>
      <c r="D18" s="16" t="s">
        <v>117</v>
      </c>
      <c r="E18" s="16" t="s">
        <v>89</v>
      </c>
      <c r="F18" s="15" t="s">
        <v>56</v>
      </c>
      <c r="G18" s="20" t="s">
        <v>19</v>
      </c>
      <c r="H18" s="16" t="s">
        <v>118</v>
      </c>
      <c r="I18" s="15" t="s">
        <v>56</v>
      </c>
    </row>
    <row r="19" customFormat="false" ht="15" hidden="false" customHeight="false" outlineLevel="0" collapsed="false">
      <c r="A19" s="15" t="s">
        <v>119</v>
      </c>
      <c r="B19" s="16" t="s">
        <v>96</v>
      </c>
      <c r="C19" s="16" t="s">
        <v>120</v>
      </c>
      <c r="D19" s="16" t="s">
        <v>121</v>
      </c>
      <c r="E19" s="16" t="s">
        <v>89</v>
      </c>
      <c r="F19" s="15" t="s">
        <v>56</v>
      </c>
      <c r="G19" s="20" t="s">
        <v>19</v>
      </c>
      <c r="H19" s="16" t="s">
        <v>122</v>
      </c>
      <c r="I19" s="15" t="s">
        <v>56</v>
      </c>
    </row>
    <row r="20" customFormat="false" ht="15" hidden="false" customHeight="false" outlineLevel="0" collapsed="false">
      <c r="A20" s="15" t="s">
        <v>123</v>
      </c>
      <c r="B20" s="16" t="s">
        <v>96</v>
      </c>
      <c r="C20" s="16" t="s">
        <v>124</v>
      </c>
      <c r="D20" s="16" t="s">
        <v>125</v>
      </c>
      <c r="E20" s="16" t="s">
        <v>89</v>
      </c>
      <c r="F20" s="15" t="s">
        <v>56</v>
      </c>
      <c r="G20" s="18" t="s">
        <v>18</v>
      </c>
      <c r="H20" s="16" t="s">
        <v>126</v>
      </c>
      <c r="I20" s="15" t="s">
        <v>56</v>
      </c>
    </row>
    <row r="21" customFormat="false" ht="15" hidden="false" customHeight="false" outlineLevel="0" collapsed="false">
      <c r="A21" s="15" t="s">
        <v>127</v>
      </c>
      <c r="B21" s="16" t="s">
        <v>96</v>
      </c>
      <c r="C21" s="16" t="s">
        <v>128</v>
      </c>
      <c r="D21" s="16" t="s">
        <v>129</v>
      </c>
      <c r="E21" s="16" t="s">
        <v>89</v>
      </c>
      <c r="F21" s="15" t="s">
        <v>56</v>
      </c>
      <c r="G21" s="18" t="s">
        <v>18</v>
      </c>
      <c r="H21" s="16" t="s">
        <v>130</v>
      </c>
      <c r="I21" s="15" t="s">
        <v>56</v>
      </c>
    </row>
    <row r="22" customFormat="false" ht="29.85" hidden="false" customHeight="false" outlineLevel="0" collapsed="false">
      <c r="A22" s="15" t="s">
        <v>131</v>
      </c>
      <c r="B22" s="16" t="s">
        <v>96</v>
      </c>
      <c r="C22" s="16" t="s">
        <v>132</v>
      </c>
      <c r="D22" s="16" t="s">
        <v>133</v>
      </c>
      <c r="E22" s="16" t="s">
        <v>89</v>
      </c>
      <c r="F22" s="15" t="s">
        <v>56</v>
      </c>
      <c r="G22" s="19" t="s">
        <v>17</v>
      </c>
      <c r="H22" s="16" t="s">
        <v>134</v>
      </c>
      <c r="I22" s="15" t="s">
        <v>135</v>
      </c>
    </row>
    <row r="23" customFormat="false" ht="15" hidden="false" customHeight="false" outlineLevel="0" collapsed="false">
      <c r="A23" s="15" t="s">
        <v>136</v>
      </c>
      <c r="B23" s="16" t="s">
        <v>96</v>
      </c>
      <c r="C23" s="16" t="s">
        <v>137</v>
      </c>
      <c r="D23" s="16" t="s">
        <v>138</v>
      </c>
      <c r="E23" s="16" t="s">
        <v>89</v>
      </c>
      <c r="F23" s="15" t="s">
        <v>56</v>
      </c>
      <c r="G23" s="20" t="s">
        <v>19</v>
      </c>
      <c r="H23" s="16" t="s">
        <v>139</v>
      </c>
      <c r="I23" s="15" t="s">
        <v>56</v>
      </c>
    </row>
    <row r="24" customFormat="false" ht="15" hidden="false" customHeight="false" outlineLevel="0" collapsed="false">
      <c r="A24" s="15" t="s">
        <v>140</v>
      </c>
      <c r="B24" s="16" t="s">
        <v>96</v>
      </c>
      <c r="C24" s="16" t="s">
        <v>141</v>
      </c>
      <c r="D24" s="16" t="s">
        <v>142</v>
      </c>
      <c r="E24" s="16" t="s">
        <v>89</v>
      </c>
      <c r="F24" s="15" t="s">
        <v>56</v>
      </c>
      <c r="G24" s="20" t="s">
        <v>19</v>
      </c>
      <c r="H24" s="16" t="s">
        <v>143</v>
      </c>
      <c r="I24" s="15" t="s">
        <v>56</v>
      </c>
    </row>
    <row r="25" customFormat="false" ht="15" hidden="false" customHeight="false" outlineLevel="0" collapsed="false">
      <c r="A25" s="15" t="s">
        <v>144</v>
      </c>
      <c r="B25" s="16" t="s">
        <v>96</v>
      </c>
      <c r="C25" s="16" t="s">
        <v>145</v>
      </c>
      <c r="D25" s="16" t="s">
        <v>146</v>
      </c>
      <c r="E25" s="16" t="s">
        <v>89</v>
      </c>
      <c r="F25" s="15" t="s">
        <v>56</v>
      </c>
      <c r="G25" s="18" t="s">
        <v>18</v>
      </c>
      <c r="H25" s="16" t="s">
        <v>147</v>
      </c>
      <c r="I25" s="15" t="s">
        <v>56</v>
      </c>
    </row>
    <row r="26" customFormat="false" ht="15" hidden="false" customHeight="false" outlineLevel="0" collapsed="false">
      <c r="A26" s="15" t="s">
        <v>148</v>
      </c>
      <c r="B26" s="16" t="s">
        <v>149</v>
      </c>
      <c r="C26" s="16" t="s">
        <v>137</v>
      </c>
      <c r="D26" s="16" t="s">
        <v>150</v>
      </c>
      <c r="E26" s="16" t="s">
        <v>89</v>
      </c>
      <c r="F26" s="15" t="s">
        <v>56</v>
      </c>
      <c r="G26" s="20" t="s">
        <v>19</v>
      </c>
      <c r="H26" s="16" t="s">
        <v>151</v>
      </c>
      <c r="I26" s="15" t="s">
        <v>56</v>
      </c>
    </row>
    <row r="27" customFormat="false" ht="15" hidden="false" customHeight="false" outlineLevel="0" collapsed="false">
      <c r="A27" s="15" t="s">
        <v>152</v>
      </c>
      <c r="B27" s="16" t="s">
        <v>149</v>
      </c>
      <c r="C27" s="16" t="s">
        <v>153</v>
      </c>
      <c r="D27" s="16" t="s">
        <v>154</v>
      </c>
      <c r="E27" s="16" t="s">
        <v>89</v>
      </c>
      <c r="F27" s="15" t="s">
        <v>56</v>
      </c>
      <c r="G27" s="20" t="s">
        <v>19</v>
      </c>
      <c r="H27" s="16" t="s">
        <v>151</v>
      </c>
      <c r="I27" s="15" t="s">
        <v>56</v>
      </c>
    </row>
    <row r="28" customFormat="false" ht="29.85" hidden="false" customHeight="false" outlineLevel="0" collapsed="false">
      <c r="A28" s="15" t="s">
        <v>155</v>
      </c>
      <c r="B28" s="16" t="s">
        <v>156</v>
      </c>
      <c r="C28" s="16" t="s">
        <v>157</v>
      </c>
      <c r="D28" s="16" t="s">
        <v>158</v>
      </c>
      <c r="E28" s="16" t="s">
        <v>89</v>
      </c>
      <c r="F28" s="15" t="s">
        <v>56</v>
      </c>
      <c r="G28" s="17" t="s">
        <v>16</v>
      </c>
      <c r="H28" s="16" t="s">
        <v>159</v>
      </c>
      <c r="I28" s="15" t="s">
        <v>160</v>
      </c>
    </row>
    <row r="29" customFormat="false" ht="29.85" hidden="false" customHeight="false" outlineLevel="0" collapsed="false">
      <c r="A29" s="15" t="s">
        <v>161</v>
      </c>
      <c r="B29" s="16" t="s">
        <v>156</v>
      </c>
      <c r="C29" s="16" t="s">
        <v>162</v>
      </c>
      <c r="D29" s="16" t="s">
        <v>163</v>
      </c>
      <c r="E29" s="16" t="s">
        <v>89</v>
      </c>
      <c r="F29" s="15" t="s">
        <v>56</v>
      </c>
      <c r="G29" s="17" t="s">
        <v>16</v>
      </c>
      <c r="H29" s="16" t="s">
        <v>164</v>
      </c>
      <c r="I29" s="15" t="s">
        <v>165</v>
      </c>
    </row>
    <row r="30" customFormat="false" ht="15" hidden="false" customHeight="false" outlineLevel="0" collapsed="false">
      <c r="A30" s="15" t="s">
        <v>166</v>
      </c>
      <c r="B30" s="16" t="s">
        <v>156</v>
      </c>
      <c r="C30" s="16" t="s">
        <v>167</v>
      </c>
      <c r="D30" s="16" t="s">
        <v>168</v>
      </c>
      <c r="E30" s="16" t="s">
        <v>89</v>
      </c>
      <c r="F30" s="15" t="s">
        <v>56</v>
      </c>
      <c r="G30" s="18" t="s">
        <v>18</v>
      </c>
      <c r="H30" s="16" t="s">
        <v>169</v>
      </c>
      <c r="I30" s="15" t="s">
        <v>56</v>
      </c>
    </row>
    <row r="31" customFormat="false" ht="29.85" hidden="false" customHeight="false" outlineLevel="0" collapsed="false">
      <c r="A31" s="15" t="s">
        <v>170</v>
      </c>
      <c r="B31" s="16" t="s">
        <v>156</v>
      </c>
      <c r="C31" s="16" t="s">
        <v>171</v>
      </c>
      <c r="D31" s="16" t="s">
        <v>172</v>
      </c>
      <c r="E31" s="16" t="s">
        <v>89</v>
      </c>
      <c r="F31" s="15" t="s">
        <v>56</v>
      </c>
      <c r="G31" s="19" t="s">
        <v>17</v>
      </c>
      <c r="H31" s="16" t="s">
        <v>173</v>
      </c>
      <c r="I31" s="15" t="s">
        <v>174</v>
      </c>
    </row>
    <row r="32" customFormat="false" ht="29.85" hidden="false" customHeight="false" outlineLevel="0" collapsed="false">
      <c r="A32" s="15" t="s">
        <v>175</v>
      </c>
      <c r="B32" s="16" t="s">
        <v>156</v>
      </c>
      <c r="C32" s="16" t="s">
        <v>176</v>
      </c>
      <c r="D32" s="16" t="s">
        <v>177</v>
      </c>
      <c r="E32" s="16" t="s">
        <v>89</v>
      </c>
      <c r="F32" s="15" t="s">
        <v>56</v>
      </c>
      <c r="G32" s="18" t="s">
        <v>18</v>
      </c>
      <c r="H32" s="15" t="s">
        <v>178</v>
      </c>
      <c r="I32" s="15" t="s">
        <v>56</v>
      </c>
    </row>
    <row r="33" customFormat="false" ht="29.85" hidden="false" customHeight="false" outlineLevel="0" collapsed="false">
      <c r="A33" s="15" t="s">
        <v>179</v>
      </c>
      <c r="B33" s="16" t="s">
        <v>156</v>
      </c>
      <c r="C33" s="16" t="s">
        <v>180</v>
      </c>
      <c r="D33" s="16" t="s">
        <v>181</v>
      </c>
      <c r="E33" s="16" t="s">
        <v>89</v>
      </c>
      <c r="F33" s="15" t="s">
        <v>56</v>
      </c>
      <c r="G33" s="18" t="s">
        <v>18</v>
      </c>
      <c r="H33" s="15" t="s">
        <v>178</v>
      </c>
      <c r="I33" s="15" t="s">
        <v>56</v>
      </c>
    </row>
    <row r="34" customFormat="false" ht="15" hidden="false" customHeight="false" outlineLevel="0" collapsed="false">
      <c r="A34" s="15" t="s">
        <v>182</v>
      </c>
      <c r="B34" s="16" t="s">
        <v>156</v>
      </c>
      <c r="C34" s="16" t="s">
        <v>183</v>
      </c>
      <c r="D34" s="16" t="s">
        <v>184</v>
      </c>
      <c r="E34" s="16" t="s">
        <v>89</v>
      </c>
      <c r="F34" s="15" t="s">
        <v>56</v>
      </c>
      <c r="G34" s="18" t="s">
        <v>18</v>
      </c>
      <c r="H34" s="15" t="s">
        <v>178</v>
      </c>
      <c r="I34" s="15" t="s">
        <v>56</v>
      </c>
    </row>
    <row r="35" customFormat="false" ht="29.85" hidden="false" customHeight="false" outlineLevel="0" collapsed="false">
      <c r="A35" s="15" t="s">
        <v>185</v>
      </c>
      <c r="B35" s="16" t="s">
        <v>186</v>
      </c>
      <c r="C35" s="16" t="s">
        <v>97</v>
      </c>
      <c r="D35" s="16" t="s">
        <v>98</v>
      </c>
      <c r="E35" s="16" t="s">
        <v>89</v>
      </c>
      <c r="F35" s="15" t="s">
        <v>56</v>
      </c>
      <c r="G35" s="20" t="s">
        <v>19</v>
      </c>
      <c r="H35" s="16" t="s">
        <v>187</v>
      </c>
      <c r="I35" s="15" t="s">
        <v>56</v>
      </c>
    </row>
    <row r="36" customFormat="false" ht="29.85" hidden="false" customHeight="false" outlineLevel="0" collapsed="false">
      <c r="A36" s="15" t="s">
        <v>188</v>
      </c>
      <c r="B36" s="16" t="s">
        <v>186</v>
      </c>
      <c r="C36" s="16" t="s">
        <v>101</v>
      </c>
      <c r="D36" s="16" t="s">
        <v>189</v>
      </c>
      <c r="E36" s="16" t="s">
        <v>89</v>
      </c>
      <c r="F36" s="15" t="s">
        <v>56</v>
      </c>
      <c r="G36" s="20" t="s">
        <v>19</v>
      </c>
      <c r="H36" s="16" t="s">
        <v>187</v>
      </c>
      <c r="I36" s="15" t="s">
        <v>56</v>
      </c>
    </row>
    <row r="37" customFormat="false" ht="29.85" hidden="false" customHeight="false" outlineLevel="0" collapsed="false">
      <c r="A37" s="15" t="s">
        <v>190</v>
      </c>
      <c r="B37" s="16" t="s">
        <v>186</v>
      </c>
      <c r="C37" s="16" t="s">
        <v>106</v>
      </c>
      <c r="D37" s="16" t="s">
        <v>107</v>
      </c>
      <c r="E37" s="16" t="s">
        <v>89</v>
      </c>
      <c r="F37" s="15" t="s">
        <v>56</v>
      </c>
      <c r="G37" s="20" t="s">
        <v>19</v>
      </c>
      <c r="H37" s="16" t="s">
        <v>187</v>
      </c>
      <c r="I37" s="15" t="s">
        <v>56</v>
      </c>
    </row>
    <row r="38" customFormat="false" ht="29.85" hidden="false" customHeight="false" outlineLevel="0" collapsed="false">
      <c r="A38" s="15" t="s">
        <v>191</v>
      </c>
      <c r="B38" s="16" t="s">
        <v>186</v>
      </c>
      <c r="C38" s="16" t="s">
        <v>116</v>
      </c>
      <c r="D38" s="16" t="s">
        <v>117</v>
      </c>
      <c r="E38" s="16" t="s">
        <v>89</v>
      </c>
      <c r="F38" s="15" t="s">
        <v>56</v>
      </c>
      <c r="G38" s="20" t="s">
        <v>19</v>
      </c>
      <c r="H38" s="16" t="s">
        <v>187</v>
      </c>
      <c r="I38" s="15" t="s">
        <v>56</v>
      </c>
    </row>
    <row r="39" customFormat="false" ht="29.85" hidden="false" customHeight="false" outlineLevel="0" collapsed="false">
      <c r="A39" s="15" t="s">
        <v>192</v>
      </c>
      <c r="B39" s="16" t="s">
        <v>186</v>
      </c>
      <c r="C39" s="16" t="s">
        <v>120</v>
      </c>
      <c r="D39" s="16" t="s">
        <v>121</v>
      </c>
      <c r="E39" s="16" t="s">
        <v>89</v>
      </c>
      <c r="F39" s="15" t="s">
        <v>56</v>
      </c>
      <c r="G39" s="20" t="s">
        <v>19</v>
      </c>
      <c r="H39" s="16" t="s">
        <v>187</v>
      </c>
      <c r="I39" s="15" t="s">
        <v>56</v>
      </c>
    </row>
    <row r="40" customFormat="false" ht="29.85" hidden="false" customHeight="false" outlineLevel="0" collapsed="false">
      <c r="A40" s="15" t="s">
        <v>193</v>
      </c>
      <c r="B40" s="16" t="s">
        <v>186</v>
      </c>
      <c r="C40" s="16" t="s">
        <v>124</v>
      </c>
      <c r="D40" s="16" t="s">
        <v>125</v>
      </c>
      <c r="E40" s="16" t="s">
        <v>89</v>
      </c>
      <c r="F40" s="15" t="s">
        <v>56</v>
      </c>
      <c r="G40" s="20" t="s">
        <v>19</v>
      </c>
      <c r="H40" s="16" t="s">
        <v>187</v>
      </c>
      <c r="I40" s="15" t="s">
        <v>56</v>
      </c>
    </row>
    <row r="41" customFormat="false" ht="15" hidden="false" customHeight="false" outlineLevel="0" collapsed="false">
      <c r="A41" s="15" t="s">
        <v>194</v>
      </c>
      <c r="B41" s="16" t="s">
        <v>195</v>
      </c>
      <c r="C41" s="16" t="s">
        <v>196</v>
      </c>
      <c r="D41" s="16" t="s">
        <v>197</v>
      </c>
      <c r="E41" s="16" t="s">
        <v>89</v>
      </c>
      <c r="F41" s="15" t="s">
        <v>56</v>
      </c>
      <c r="G41" s="20" t="s">
        <v>19</v>
      </c>
      <c r="H41" s="16" t="s">
        <v>151</v>
      </c>
      <c r="I41" s="15" t="s">
        <v>56</v>
      </c>
    </row>
  </sheetData>
  <autoFilter ref="A1:I41"/>
  <dataValidations count="1">
    <dataValidation allowBlank="false" errorStyle="stop" operator="between" showDropDown="false" showErrorMessage="false" showInputMessage="false" sqref="G2:G41" type="list">
      <formula1>"자동화,API로 대체,후순위,제외"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28"/>
    <col collapsed="false" customWidth="true" hidden="false" outlineLevel="0" max="10" min="10" style="0" width="11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14" t="s">
        <v>198</v>
      </c>
      <c r="B1" s="14" t="s">
        <v>2</v>
      </c>
      <c r="C1" s="14" t="s">
        <v>199</v>
      </c>
      <c r="D1" s="14" t="s">
        <v>200</v>
      </c>
      <c r="E1" s="14" t="s">
        <v>201</v>
      </c>
      <c r="F1" s="14" t="s">
        <v>202</v>
      </c>
      <c r="G1" s="14" t="s">
        <v>31</v>
      </c>
      <c r="H1" s="21" t="s">
        <v>203</v>
      </c>
      <c r="I1" s="14" t="s">
        <v>204</v>
      </c>
      <c r="J1" s="14" t="s">
        <v>205</v>
      </c>
      <c r="K1" s="14" t="s">
        <v>206</v>
      </c>
      <c r="L1" s="14" t="s">
        <v>207</v>
      </c>
      <c r="M1" s="14" t="s">
        <v>208</v>
      </c>
    </row>
    <row r="2" customFormat="false" ht="29.85" hidden="false" customHeight="false" outlineLevel="0" collapsed="false">
      <c r="A2" s="15" t="s">
        <v>41</v>
      </c>
      <c r="B2" s="15" t="s">
        <v>11</v>
      </c>
      <c r="C2" s="15" t="s">
        <v>209</v>
      </c>
      <c r="D2" s="15" t="s">
        <v>210</v>
      </c>
      <c r="E2" s="16" t="s">
        <v>211</v>
      </c>
      <c r="F2" s="15" t="s">
        <v>35</v>
      </c>
      <c r="G2" s="15" t="s">
        <v>39</v>
      </c>
      <c r="H2" s="15" t="s">
        <v>212</v>
      </c>
      <c r="I2" s="15" t="s">
        <v>213</v>
      </c>
      <c r="J2" s="15" t="s">
        <v>214</v>
      </c>
      <c r="K2" s="15" t="s">
        <v>215</v>
      </c>
      <c r="L2" s="18" t="s">
        <v>10</v>
      </c>
      <c r="M2" s="16" t="s">
        <v>216</v>
      </c>
    </row>
    <row r="3" customFormat="false" ht="29.85" hidden="false" customHeight="false" outlineLevel="0" collapsed="false">
      <c r="A3" s="15" t="s">
        <v>46</v>
      </c>
      <c r="B3" s="15" t="s">
        <v>11</v>
      </c>
      <c r="C3" s="15" t="s">
        <v>217</v>
      </c>
      <c r="D3" s="15" t="s">
        <v>210</v>
      </c>
      <c r="E3" s="16" t="s">
        <v>211</v>
      </c>
      <c r="F3" s="15" t="s">
        <v>42</v>
      </c>
      <c r="G3" s="15" t="s">
        <v>44</v>
      </c>
      <c r="H3" s="15" t="s">
        <v>212</v>
      </c>
      <c r="I3" s="15" t="s">
        <v>213</v>
      </c>
      <c r="J3" s="15" t="s">
        <v>214</v>
      </c>
      <c r="K3" s="15" t="s">
        <v>215</v>
      </c>
      <c r="L3" s="18" t="s">
        <v>10</v>
      </c>
      <c r="M3" s="16" t="s">
        <v>216</v>
      </c>
    </row>
    <row r="4" customFormat="false" ht="29.85" hidden="false" customHeight="false" outlineLevel="0" collapsed="false">
      <c r="A4" s="15" t="s">
        <v>52</v>
      </c>
      <c r="B4" s="15" t="s">
        <v>11</v>
      </c>
      <c r="C4" s="15" t="s">
        <v>218</v>
      </c>
      <c r="D4" s="15" t="s">
        <v>210</v>
      </c>
      <c r="E4" s="16" t="s">
        <v>219</v>
      </c>
      <c r="F4" s="15" t="s">
        <v>47</v>
      </c>
      <c r="G4" s="15" t="s">
        <v>50</v>
      </c>
      <c r="H4" s="15" t="s">
        <v>212</v>
      </c>
      <c r="I4" s="15" t="s">
        <v>213</v>
      </c>
      <c r="J4" s="15" t="s">
        <v>214</v>
      </c>
      <c r="K4" s="15" t="s">
        <v>215</v>
      </c>
      <c r="L4" s="18" t="s">
        <v>10</v>
      </c>
      <c r="M4" s="16" t="s">
        <v>216</v>
      </c>
    </row>
    <row r="5" customFormat="false" ht="15" hidden="false" customHeight="false" outlineLevel="0" collapsed="false">
      <c r="A5" s="15" t="s">
        <v>58</v>
      </c>
      <c r="B5" s="15" t="s">
        <v>11</v>
      </c>
      <c r="C5" s="15" t="s">
        <v>220</v>
      </c>
      <c r="D5" s="16" t="s">
        <v>221</v>
      </c>
      <c r="E5" s="16" t="s">
        <v>222</v>
      </c>
      <c r="F5" s="15" t="s">
        <v>53</v>
      </c>
      <c r="G5" s="15" t="s">
        <v>56</v>
      </c>
      <c r="H5" s="15" t="s">
        <v>212</v>
      </c>
      <c r="I5" s="15" t="s">
        <v>213</v>
      </c>
      <c r="J5" s="15" t="s">
        <v>6</v>
      </c>
      <c r="K5" s="15" t="s">
        <v>215</v>
      </c>
      <c r="L5" s="18" t="s">
        <v>10</v>
      </c>
      <c r="M5" s="15"/>
    </row>
    <row r="6" customFormat="false" ht="29.85" hidden="false" customHeight="false" outlineLevel="0" collapsed="false">
      <c r="A6" s="15" t="s">
        <v>63</v>
      </c>
      <c r="B6" s="15" t="s">
        <v>11</v>
      </c>
      <c r="C6" s="15" t="s">
        <v>223</v>
      </c>
      <c r="D6" s="16" t="s">
        <v>224</v>
      </c>
      <c r="E6" s="16" t="s">
        <v>225</v>
      </c>
      <c r="F6" s="15" t="s">
        <v>59</v>
      </c>
      <c r="G6" s="15" t="s">
        <v>56</v>
      </c>
      <c r="H6" s="15" t="s">
        <v>212</v>
      </c>
      <c r="I6" s="15" t="s">
        <v>213</v>
      </c>
      <c r="J6" s="15" t="s">
        <v>6</v>
      </c>
      <c r="K6" s="15" t="s">
        <v>215</v>
      </c>
      <c r="L6" s="18" t="s">
        <v>10</v>
      </c>
      <c r="M6" s="15"/>
    </row>
    <row r="7" customFormat="false" ht="15" hidden="false" customHeight="false" outlineLevel="0" collapsed="false">
      <c r="A7" s="15" t="s">
        <v>85</v>
      </c>
      <c r="B7" s="15" t="s">
        <v>11</v>
      </c>
      <c r="C7" s="15" t="s">
        <v>226</v>
      </c>
      <c r="D7" s="16" t="s">
        <v>227</v>
      </c>
      <c r="E7" s="15" t="s">
        <v>56</v>
      </c>
      <c r="F7" s="15" t="s">
        <v>81</v>
      </c>
      <c r="G7" s="15" t="s">
        <v>56</v>
      </c>
      <c r="H7" s="15" t="s">
        <v>212</v>
      </c>
      <c r="I7" s="15" t="s">
        <v>213</v>
      </c>
      <c r="J7" s="15" t="s">
        <v>214</v>
      </c>
      <c r="K7" s="15" t="s">
        <v>228</v>
      </c>
      <c r="L7" s="18" t="s">
        <v>10</v>
      </c>
      <c r="M7" s="15"/>
    </row>
    <row r="8" customFormat="false" ht="15" hidden="false" customHeight="false" outlineLevel="0" collapsed="false">
      <c r="A8" s="15" t="s">
        <v>104</v>
      </c>
      <c r="B8" s="15" t="s">
        <v>11</v>
      </c>
      <c r="C8" s="15" t="s">
        <v>229</v>
      </c>
      <c r="D8" s="16" t="s">
        <v>230</v>
      </c>
      <c r="E8" s="15" t="s">
        <v>56</v>
      </c>
      <c r="F8" s="15" t="s">
        <v>100</v>
      </c>
      <c r="G8" s="15" t="s">
        <v>56</v>
      </c>
      <c r="H8" s="15" t="s">
        <v>231</v>
      </c>
      <c r="I8" s="15" t="s">
        <v>232</v>
      </c>
      <c r="J8" s="15" t="s">
        <v>214</v>
      </c>
      <c r="K8" s="15" t="s">
        <v>228</v>
      </c>
      <c r="L8" s="18" t="s">
        <v>10</v>
      </c>
      <c r="M8" s="16" t="s">
        <v>233</v>
      </c>
    </row>
    <row r="9" customFormat="false" ht="15" hidden="false" customHeight="false" outlineLevel="0" collapsed="false">
      <c r="A9" s="15" t="s">
        <v>109</v>
      </c>
      <c r="B9" s="15" t="s">
        <v>11</v>
      </c>
      <c r="C9" s="15" t="s">
        <v>234</v>
      </c>
      <c r="D9" s="16" t="s">
        <v>235</v>
      </c>
      <c r="E9" s="15" t="s">
        <v>56</v>
      </c>
      <c r="F9" s="15" t="s">
        <v>105</v>
      </c>
      <c r="G9" s="15" t="s">
        <v>56</v>
      </c>
      <c r="H9" s="15" t="s">
        <v>231</v>
      </c>
      <c r="I9" s="15" t="s">
        <v>232</v>
      </c>
      <c r="J9" s="15" t="s">
        <v>214</v>
      </c>
      <c r="K9" s="15" t="s">
        <v>228</v>
      </c>
      <c r="L9" s="18" t="s">
        <v>10</v>
      </c>
      <c r="M9" s="15"/>
    </row>
    <row r="10" customFormat="false" ht="15" hidden="false" customHeight="false" outlineLevel="0" collapsed="false">
      <c r="A10" s="15" t="s">
        <v>114</v>
      </c>
      <c r="B10" s="15" t="s">
        <v>11</v>
      </c>
      <c r="C10" s="15" t="s">
        <v>236</v>
      </c>
      <c r="D10" s="16" t="s">
        <v>237</v>
      </c>
      <c r="E10" s="16" t="s">
        <v>238</v>
      </c>
      <c r="F10" s="15" t="s">
        <v>110</v>
      </c>
      <c r="G10" s="15" t="s">
        <v>56</v>
      </c>
      <c r="H10" s="15" t="s">
        <v>231</v>
      </c>
      <c r="I10" s="15" t="s">
        <v>232</v>
      </c>
      <c r="J10" s="15" t="s">
        <v>214</v>
      </c>
      <c r="K10" s="15" t="s">
        <v>228</v>
      </c>
      <c r="L10" s="18" t="s">
        <v>10</v>
      </c>
      <c r="M10" s="15" t="s">
        <v>239</v>
      </c>
    </row>
    <row r="11" customFormat="false" ht="15" hidden="false" customHeight="false" outlineLevel="0" collapsed="false">
      <c r="A11" s="15" t="s">
        <v>160</v>
      </c>
      <c r="B11" s="15" t="s">
        <v>11</v>
      </c>
      <c r="C11" s="15" t="s">
        <v>240</v>
      </c>
      <c r="D11" s="16" t="s">
        <v>241</v>
      </c>
      <c r="E11" s="15" t="s">
        <v>56</v>
      </c>
      <c r="F11" s="15" t="s">
        <v>155</v>
      </c>
      <c r="G11" s="15" t="s">
        <v>56</v>
      </c>
      <c r="H11" s="15" t="s">
        <v>242</v>
      </c>
      <c r="I11" s="15" t="s">
        <v>243</v>
      </c>
      <c r="J11" s="15" t="s">
        <v>6</v>
      </c>
      <c r="K11" s="15" t="s">
        <v>215</v>
      </c>
      <c r="L11" s="18" t="s">
        <v>10</v>
      </c>
      <c r="M11" s="15"/>
    </row>
    <row r="12" customFormat="false" ht="29.85" hidden="false" customHeight="false" outlineLevel="0" collapsed="false">
      <c r="A12" s="15" t="s">
        <v>244</v>
      </c>
      <c r="B12" s="15" t="s">
        <v>11</v>
      </c>
      <c r="C12" s="15" t="s">
        <v>245</v>
      </c>
      <c r="D12" s="16" t="s">
        <v>246</v>
      </c>
      <c r="E12" s="16" t="s">
        <v>247</v>
      </c>
      <c r="F12" s="15" t="s">
        <v>161</v>
      </c>
      <c r="G12" s="15" t="s">
        <v>56</v>
      </c>
      <c r="H12" s="15" t="s">
        <v>242</v>
      </c>
      <c r="I12" s="15" t="s">
        <v>243</v>
      </c>
      <c r="J12" s="15" t="s">
        <v>214</v>
      </c>
      <c r="K12" s="15" t="s">
        <v>228</v>
      </c>
      <c r="L12" s="18" t="s">
        <v>10</v>
      </c>
      <c r="M12" s="16" t="s">
        <v>248</v>
      </c>
    </row>
    <row r="13" customFormat="false" ht="29.85" hidden="false" customHeight="false" outlineLevel="0" collapsed="false">
      <c r="A13" s="15" t="s">
        <v>249</v>
      </c>
      <c r="B13" s="15" t="s">
        <v>11</v>
      </c>
      <c r="C13" s="15" t="s">
        <v>250</v>
      </c>
      <c r="D13" s="16" t="s">
        <v>251</v>
      </c>
      <c r="E13" s="16" t="s">
        <v>247</v>
      </c>
      <c r="F13" s="15" t="s">
        <v>161</v>
      </c>
      <c r="G13" s="15" t="s">
        <v>56</v>
      </c>
      <c r="H13" s="15" t="s">
        <v>242</v>
      </c>
      <c r="I13" s="15" t="s">
        <v>243</v>
      </c>
      <c r="J13" s="15" t="s">
        <v>214</v>
      </c>
      <c r="K13" s="15" t="s">
        <v>228</v>
      </c>
      <c r="L13" s="18" t="s">
        <v>10</v>
      </c>
      <c r="M13" s="16" t="s">
        <v>248</v>
      </c>
    </row>
    <row r="14" customFormat="false" ht="15" hidden="false" customHeight="false" outlineLevel="0" collapsed="false">
      <c r="A14" s="15" t="s">
        <v>252</v>
      </c>
      <c r="B14" s="15" t="s">
        <v>12</v>
      </c>
      <c r="C14" s="15" t="s">
        <v>253</v>
      </c>
      <c r="D14" s="15" t="s">
        <v>254</v>
      </c>
      <c r="E14" s="15" t="s">
        <v>56</v>
      </c>
      <c r="F14" s="15" t="s">
        <v>56</v>
      </c>
      <c r="G14" s="15" t="s">
        <v>56</v>
      </c>
      <c r="H14" s="15" t="s">
        <v>56</v>
      </c>
      <c r="I14" s="15" t="s">
        <v>255</v>
      </c>
      <c r="J14" s="15" t="s">
        <v>6</v>
      </c>
      <c r="K14" s="15" t="s">
        <v>215</v>
      </c>
      <c r="L14" s="18" t="s">
        <v>10</v>
      </c>
      <c r="M14" s="15"/>
    </row>
    <row r="15" customFormat="false" ht="15" hidden="false" customHeight="false" outlineLevel="0" collapsed="false">
      <c r="A15" s="15" t="s">
        <v>256</v>
      </c>
      <c r="B15" s="15" t="s">
        <v>12</v>
      </c>
      <c r="C15" s="15" t="s">
        <v>257</v>
      </c>
      <c r="D15" s="16" t="s">
        <v>258</v>
      </c>
      <c r="E15" s="16" t="s">
        <v>238</v>
      </c>
      <c r="F15" s="15" t="s">
        <v>56</v>
      </c>
      <c r="G15" s="15" t="s">
        <v>56</v>
      </c>
      <c r="H15" s="15" t="s">
        <v>56</v>
      </c>
      <c r="I15" s="15" t="s">
        <v>255</v>
      </c>
      <c r="J15" s="15" t="s">
        <v>214</v>
      </c>
      <c r="K15" s="15" t="s">
        <v>215</v>
      </c>
      <c r="L15" s="18" t="s">
        <v>10</v>
      </c>
      <c r="M15" s="15"/>
    </row>
    <row r="16" customFormat="false" ht="29.85" hidden="false" customHeight="false" outlineLevel="0" collapsed="false">
      <c r="A16" s="15" t="s">
        <v>259</v>
      </c>
      <c r="B16" s="15" t="s">
        <v>12</v>
      </c>
      <c r="C16" s="15" t="s">
        <v>260</v>
      </c>
      <c r="D16" s="16" t="s">
        <v>261</v>
      </c>
      <c r="E16" s="16" t="s">
        <v>219</v>
      </c>
      <c r="F16" s="15" t="s">
        <v>56</v>
      </c>
      <c r="G16" s="15" t="s">
        <v>56</v>
      </c>
      <c r="H16" s="15" t="s">
        <v>56</v>
      </c>
      <c r="I16" s="15" t="s">
        <v>255</v>
      </c>
      <c r="J16" s="15" t="s">
        <v>214</v>
      </c>
      <c r="K16" s="15" t="s">
        <v>215</v>
      </c>
      <c r="L16" s="18" t="s">
        <v>10</v>
      </c>
      <c r="M16" s="16" t="s">
        <v>262</v>
      </c>
    </row>
    <row r="17" customFormat="false" ht="15" hidden="false" customHeight="false" outlineLevel="0" collapsed="false">
      <c r="A17" s="15" t="s">
        <v>263</v>
      </c>
      <c r="B17" s="15" t="s">
        <v>12</v>
      </c>
      <c r="C17" s="15" t="s">
        <v>264</v>
      </c>
      <c r="D17" s="16" t="s">
        <v>265</v>
      </c>
      <c r="E17" s="16" t="s">
        <v>219</v>
      </c>
      <c r="F17" s="15" t="s">
        <v>56</v>
      </c>
      <c r="G17" s="15" t="s">
        <v>56</v>
      </c>
      <c r="H17" s="15" t="s">
        <v>56</v>
      </c>
      <c r="I17" s="15" t="s">
        <v>255</v>
      </c>
      <c r="J17" s="15" t="s">
        <v>214</v>
      </c>
      <c r="K17" s="15" t="s">
        <v>228</v>
      </c>
      <c r="L17" s="18" t="s">
        <v>10</v>
      </c>
      <c r="M17" s="15"/>
    </row>
    <row r="18" customFormat="false" ht="15" hidden="false" customHeight="false" outlineLevel="0" collapsed="false">
      <c r="A18" s="15" t="s">
        <v>266</v>
      </c>
      <c r="B18" s="15" t="s">
        <v>12</v>
      </c>
      <c r="C18" s="15" t="s">
        <v>267</v>
      </c>
      <c r="D18" s="16" t="s">
        <v>261</v>
      </c>
      <c r="E18" s="16" t="s">
        <v>211</v>
      </c>
      <c r="F18" s="15" t="s">
        <v>56</v>
      </c>
      <c r="G18" s="15" t="s">
        <v>56</v>
      </c>
      <c r="H18" s="15" t="s">
        <v>56</v>
      </c>
      <c r="I18" s="15" t="s">
        <v>255</v>
      </c>
      <c r="J18" s="15" t="s">
        <v>214</v>
      </c>
      <c r="K18" s="15" t="s">
        <v>228</v>
      </c>
      <c r="L18" s="18" t="s">
        <v>10</v>
      </c>
      <c r="M18" s="15"/>
    </row>
    <row r="19" customFormat="false" ht="15" hidden="false" customHeight="false" outlineLevel="0" collapsed="false">
      <c r="A19" s="15" t="s">
        <v>268</v>
      </c>
      <c r="B19" s="15" t="s">
        <v>12</v>
      </c>
      <c r="C19" s="15" t="s">
        <v>269</v>
      </c>
      <c r="D19" s="15" t="s">
        <v>270</v>
      </c>
      <c r="E19" s="16" t="s">
        <v>271</v>
      </c>
      <c r="F19" s="15" t="s">
        <v>56</v>
      </c>
      <c r="G19" s="15" t="s">
        <v>56</v>
      </c>
      <c r="H19" s="15" t="s">
        <v>56</v>
      </c>
      <c r="I19" s="15" t="s">
        <v>255</v>
      </c>
      <c r="J19" s="15" t="s">
        <v>214</v>
      </c>
      <c r="K19" s="15" t="s">
        <v>228</v>
      </c>
      <c r="L19" s="18" t="s">
        <v>10</v>
      </c>
      <c r="M19" s="16" t="s">
        <v>272</v>
      </c>
    </row>
    <row r="20" customFormat="false" ht="15" hidden="false" customHeight="false" outlineLevel="0" collapsed="false">
      <c r="A20" s="15" t="s">
        <v>273</v>
      </c>
      <c r="B20" s="15" t="s">
        <v>12</v>
      </c>
      <c r="C20" s="15" t="s">
        <v>274</v>
      </c>
      <c r="D20" s="16" t="s">
        <v>275</v>
      </c>
      <c r="E20" s="16" t="s">
        <v>219</v>
      </c>
      <c r="F20" s="15" t="s">
        <v>56</v>
      </c>
      <c r="G20" s="15" t="s">
        <v>56</v>
      </c>
      <c r="H20" s="15" t="s">
        <v>56</v>
      </c>
      <c r="I20" s="15" t="s">
        <v>255</v>
      </c>
      <c r="J20" s="15" t="s">
        <v>214</v>
      </c>
      <c r="K20" s="15" t="s">
        <v>228</v>
      </c>
      <c r="L20" s="18" t="s">
        <v>10</v>
      </c>
      <c r="M20" s="15"/>
    </row>
    <row r="21" customFormat="false" ht="15" hidden="false" customHeight="false" outlineLevel="0" collapsed="false">
      <c r="A21" s="15" t="s">
        <v>276</v>
      </c>
      <c r="B21" s="15" t="s">
        <v>12</v>
      </c>
      <c r="C21" s="15" t="s">
        <v>277</v>
      </c>
      <c r="D21" s="15" t="s">
        <v>278</v>
      </c>
      <c r="E21" s="15" t="s">
        <v>56</v>
      </c>
      <c r="F21" s="15" t="s">
        <v>56</v>
      </c>
      <c r="G21" s="15" t="s">
        <v>56</v>
      </c>
      <c r="H21" s="15" t="s">
        <v>56</v>
      </c>
      <c r="I21" s="15" t="s">
        <v>255</v>
      </c>
      <c r="J21" s="15" t="s">
        <v>214</v>
      </c>
      <c r="K21" s="15" t="s">
        <v>228</v>
      </c>
      <c r="L21" s="18" t="s">
        <v>10</v>
      </c>
      <c r="M21" s="15"/>
    </row>
    <row r="22" customFormat="false" ht="15" hidden="false" customHeight="false" outlineLevel="0" collapsed="false">
      <c r="A22" s="15" t="s">
        <v>279</v>
      </c>
      <c r="B22" s="15" t="s">
        <v>12</v>
      </c>
      <c r="C22" s="15" t="s">
        <v>280</v>
      </c>
      <c r="D22" s="16" t="s">
        <v>281</v>
      </c>
      <c r="E22" s="16" t="s">
        <v>238</v>
      </c>
      <c r="F22" s="15" t="s">
        <v>68</v>
      </c>
      <c r="G22" s="15" t="s">
        <v>56</v>
      </c>
      <c r="H22" s="15" t="s">
        <v>56</v>
      </c>
      <c r="I22" s="15" t="s">
        <v>282</v>
      </c>
      <c r="J22" s="15" t="s">
        <v>214</v>
      </c>
      <c r="K22" s="15" t="s">
        <v>215</v>
      </c>
      <c r="L22" s="18" t="s">
        <v>10</v>
      </c>
      <c r="M22" s="16" t="s">
        <v>283</v>
      </c>
    </row>
    <row r="23" customFormat="false" ht="15" hidden="false" customHeight="false" outlineLevel="0" collapsed="false">
      <c r="A23" s="15" t="s">
        <v>284</v>
      </c>
      <c r="B23" s="15" t="s">
        <v>12</v>
      </c>
      <c r="C23" s="15" t="s">
        <v>285</v>
      </c>
      <c r="D23" s="16" t="s">
        <v>286</v>
      </c>
      <c r="E23" s="16" t="s">
        <v>238</v>
      </c>
      <c r="F23" s="15" t="s">
        <v>68</v>
      </c>
      <c r="G23" s="15" t="s">
        <v>56</v>
      </c>
      <c r="H23" s="15" t="s">
        <v>56</v>
      </c>
      <c r="I23" s="15" t="s">
        <v>282</v>
      </c>
      <c r="J23" s="15" t="s">
        <v>214</v>
      </c>
      <c r="K23" s="15" t="s">
        <v>228</v>
      </c>
      <c r="L23" s="18" t="s">
        <v>10</v>
      </c>
      <c r="M23" s="16" t="s">
        <v>287</v>
      </c>
    </row>
    <row r="24" customFormat="false" ht="15" hidden="false" customHeight="false" outlineLevel="0" collapsed="false">
      <c r="A24" s="15" t="s">
        <v>288</v>
      </c>
      <c r="B24" s="15" t="s">
        <v>12</v>
      </c>
      <c r="C24" s="15" t="s">
        <v>289</v>
      </c>
      <c r="D24" s="16" t="s">
        <v>290</v>
      </c>
      <c r="E24" s="16" t="s">
        <v>238</v>
      </c>
      <c r="F24" s="15" t="s">
        <v>56</v>
      </c>
      <c r="G24" s="15" t="s">
        <v>56</v>
      </c>
      <c r="H24" s="15" t="s">
        <v>56</v>
      </c>
      <c r="I24" s="15" t="s">
        <v>282</v>
      </c>
      <c r="J24" s="15" t="s">
        <v>214</v>
      </c>
      <c r="K24" s="15" t="s">
        <v>228</v>
      </c>
      <c r="L24" s="18" t="s">
        <v>10</v>
      </c>
      <c r="M24" s="16" t="s">
        <v>291</v>
      </c>
    </row>
    <row r="25" customFormat="false" ht="15" hidden="false" customHeight="false" outlineLevel="0" collapsed="false">
      <c r="A25" s="15" t="s">
        <v>135</v>
      </c>
      <c r="B25" s="15" t="s">
        <v>12</v>
      </c>
      <c r="C25" s="15" t="s">
        <v>292</v>
      </c>
      <c r="D25" s="16" t="s">
        <v>293</v>
      </c>
      <c r="E25" s="15" t="s">
        <v>56</v>
      </c>
      <c r="F25" s="15" t="s">
        <v>131</v>
      </c>
      <c r="G25" s="15" t="s">
        <v>56</v>
      </c>
      <c r="H25" s="15" t="s">
        <v>56</v>
      </c>
      <c r="I25" s="15" t="s">
        <v>294</v>
      </c>
      <c r="J25" s="15" t="s">
        <v>6</v>
      </c>
      <c r="K25" s="15" t="s">
        <v>215</v>
      </c>
      <c r="L25" s="18" t="s">
        <v>10</v>
      </c>
      <c r="M25" s="15"/>
    </row>
    <row r="26" customFormat="false" ht="15" hidden="false" customHeight="false" outlineLevel="0" collapsed="false">
      <c r="A26" s="15" t="s">
        <v>295</v>
      </c>
      <c r="B26" s="15" t="s">
        <v>12</v>
      </c>
      <c r="C26" s="15" t="s">
        <v>296</v>
      </c>
      <c r="D26" s="16" t="s">
        <v>297</v>
      </c>
      <c r="E26" s="16" t="s">
        <v>211</v>
      </c>
      <c r="F26" s="15" t="s">
        <v>56</v>
      </c>
      <c r="G26" s="15" t="s">
        <v>56</v>
      </c>
      <c r="H26" s="15" t="s">
        <v>56</v>
      </c>
      <c r="I26" s="15" t="s">
        <v>294</v>
      </c>
      <c r="J26" s="15" t="s">
        <v>214</v>
      </c>
      <c r="K26" s="15" t="s">
        <v>228</v>
      </c>
      <c r="L26" s="18" t="s">
        <v>10</v>
      </c>
      <c r="M26" s="15"/>
    </row>
    <row r="27" customFormat="false" ht="15" hidden="false" customHeight="false" outlineLevel="0" collapsed="false">
      <c r="A27" s="15" t="s">
        <v>298</v>
      </c>
      <c r="B27" s="15" t="s">
        <v>12</v>
      </c>
      <c r="C27" s="15" t="s">
        <v>299</v>
      </c>
      <c r="D27" s="16" t="s">
        <v>300</v>
      </c>
      <c r="E27" s="15" t="s">
        <v>56</v>
      </c>
      <c r="F27" s="15" t="s">
        <v>56</v>
      </c>
      <c r="G27" s="15" t="s">
        <v>56</v>
      </c>
      <c r="H27" s="15" t="s">
        <v>56</v>
      </c>
      <c r="I27" s="15" t="s">
        <v>301</v>
      </c>
      <c r="J27" s="15" t="s">
        <v>6</v>
      </c>
      <c r="K27" s="15" t="s">
        <v>215</v>
      </c>
      <c r="L27" s="18" t="s">
        <v>10</v>
      </c>
      <c r="M27" s="15"/>
    </row>
    <row r="28" customFormat="false" ht="15" hidden="false" customHeight="false" outlineLevel="0" collapsed="false">
      <c r="A28" s="15" t="s">
        <v>302</v>
      </c>
      <c r="B28" s="15" t="s">
        <v>12</v>
      </c>
      <c r="C28" s="15" t="s">
        <v>303</v>
      </c>
      <c r="D28" s="16" t="s">
        <v>300</v>
      </c>
      <c r="E28" s="15" t="s">
        <v>56</v>
      </c>
      <c r="F28" s="15" t="s">
        <v>56</v>
      </c>
      <c r="G28" s="15" t="s">
        <v>56</v>
      </c>
      <c r="H28" s="15" t="s">
        <v>56</v>
      </c>
      <c r="I28" s="15" t="s">
        <v>301</v>
      </c>
      <c r="J28" s="15" t="s">
        <v>214</v>
      </c>
      <c r="K28" s="15" t="s">
        <v>215</v>
      </c>
      <c r="L28" s="18" t="s">
        <v>10</v>
      </c>
      <c r="M28" s="15"/>
    </row>
    <row r="29" customFormat="false" ht="15" hidden="false" customHeight="false" outlineLevel="0" collapsed="false">
      <c r="A29" s="15" t="s">
        <v>304</v>
      </c>
      <c r="B29" s="15" t="s">
        <v>12</v>
      </c>
      <c r="C29" s="15" t="s">
        <v>305</v>
      </c>
      <c r="D29" s="15" t="s">
        <v>306</v>
      </c>
      <c r="E29" s="15" t="s">
        <v>56</v>
      </c>
      <c r="F29" s="15" t="s">
        <v>56</v>
      </c>
      <c r="G29" s="15" t="s">
        <v>56</v>
      </c>
      <c r="H29" s="15" t="s">
        <v>56</v>
      </c>
      <c r="I29" s="15" t="s">
        <v>307</v>
      </c>
      <c r="J29" s="15" t="s">
        <v>6</v>
      </c>
      <c r="K29" s="15" t="s">
        <v>215</v>
      </c>
      <c r="L29" s="18" t="s">
        <v>10</v>
      </c>
      <c r="M29" s="15"/>
    </row>
    <row r="30" customFormat="false" ht="29.85" hidden="false" customHeight="false" outlineLevel="0" collapsed="false">
      <c r="A30" s="15" t="s">
        <v>308</v>
      </c>
      <c r="B30" s="15" t="s">
        <v>12</v>
      </c>
      <c r="C30" s="15" t="s">
        <v>309</v>
      </c>
      <c r="D30" s="15" t="s">
        <v>310</v>
      </c>
      <c r="E30" s="15" t="s">
        <v>56</v>
      </c>
      <c r="F30" s="15" t="s">
        <v>56</v>
      </c>
      <c r="G30" s="15" t="s">
        <v>56</v>
      </c>
      <c r="H30" s="15" t="s">
        <v>56</v>
      </c>
      <c r="I30" s="15" t="s">
        <v>307</v>
      </c>
      <c r="J30" s="15" t="s">
        <v>214</v>
      </c>
      <c r="K30" s="15" t="s">
        <v>228</v>
      </c>
      <c r="L30" s="18" t="s">
        <v>10</v>
      </c>
      <c r="M30" s="15"/>
    </row>
    <row r="31" customFormat="false" ht="29.85" hidden="false" customHeight="false" outlineLevel="0" collapsed="false">
      <c r="A31" s="15" t="s">
        <v>311</v>
      </c>
      <c r="B31" s="15" t="s">
        <v>12</v>
      </c>
      <c r="C31" s="15" t="s">
        <v>312</v>
      </c>
      <c r="D31" s="16" t="s">
        <v>313</v>
      </c>
      <c r="E31" s="16" t="s">
        <v>219</v>
      </c>
      <c r="F31" s="15" t="s">
        <v>56</v>
      </c>
      <c r="G31" s="15" t="s">
        <v>56</v>
      </c>
      <c r="H31" s="15" t="s">
        <v>56</v>
      </c>
      <c r="I31" s="15" t="s">
        <v>307</v>
      </c>
      <c r="J31" s="15" t="s">
        <v>214</v>
      </c>
      <c r="K31" s="15" t="s">
        <v>228</v>
      </c>
      <c r="L31" s="18" t="s">
        <v>10</v>
      </c>
      <c r="M31" s="15"/>
    </row>
    <row r="32" customFormat="false" ht="15" hidden="false" customHeight="false" outlineLevel="0" collapsed="false">
      <c r="A32" s="15" t="s">
        <v>174</v>
      </c>
      <c r="B32" s="15" t="s">
        <v>12</v>
      </c>
      <c r="C32" s="15" t="s">
        <v>314</v>
      </c>
      <c r="D32" s="15" t="s">
        <v>315</v>
      </c>
      <c r="E32" s="15" t="s">
        <v>56</v>
      </c>
      <c r="F32" s="15" t="s">
        <v>170</v>
      </c>
      <c r="G32" s="15" t="s">
        <v>56</v>
      </c>
      <c r="H32" s="15" t="s">
        <v>56</v>
      </c>
      <c r="I32" s="15" t="s">
        <v>316</v>
      </c>
      <c r="J32" s="15" t="s">
        <v>214</v>
      </c>
      <c r="K32" s="15" t="s">
        <v>228</v>
      </c>
      <c r="L32" s="18" t="s">
        <v>10</v>
      </c>
      <c r="M32" s="16" t="s">
        <v>317</v>
      </c>
    </row>
  </sheetData>
  <autoFilter ref="A1:M32"/>
  <dataValidations count="1">
    <dataValidation allowBlank="false" errorStyle="stop" operator="between" showDropDown="false" showErrorMessage="false" showInputMessage="false" sqref="L2:L32" type="list">
      <formula1>"미실행,Pass,Fail,XFAIL,Skip"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4" t="s">
        <v>2</v>
      </c>
      <c r="B1" s="14" t="s">
        <v>318</v>
      </c>
      <c r="C1" s="14" t="s">
        <v>319</v>
      </c>
      <c r="D1" s="14" t="s">
        <v>320</v>
      </c>
    </row>
    <row r="2" customFormat="false" ht="15" hidden="false" customHeight="false" outlineLevel="0" collapsed="false">
      <c r="A2" s="16" t="s">
        <v>321</v>
      </c>
      <c r="B2" s="15" t="s">
        <v>322</v>
      </c>
      <c r="C2" s="15" t="s">
        <v>323</v>
      </c>
      <c r="D2" s="16" t="s">
        <v>324</v>
      </c>
    </row>
    <row r="3" customFormat="false" ht="15" hidden="false" customHeight="false" outlineLevel="0" collapsed="false">
      <c r="A3" s="16" t="s">
        <v>325</v>
      </c>
      <c r="B3" s="15" t="s">
        <v>326</v>
      </c>
      <c r="C3" s="15" t="s">
        <v>327</v>
      </c>
      <c r="D3" s="15" t="s">
        <v>328</v>
      </c>
    </row>
    <row r="4" customFormat="false" ht="15" hidden="false" customHeight="false" outlineLevel="0" collapsed="false">
      <c r="A4" s="16" t="s">
        <v>325</v>
      </c>
      <c r="B4" s="15" t="s">
        <v>329</v>
      </c>
      <c r="C4" s="15" t="s">
        <v>330</v>
      </c>
      <c r="D4" s="16" t="s">
        <v>331</v>
      </c>
    </row>
    <row r="5" customFormat="false" ht="15" hidden="false" customHeight="false" outlineLevel="0" collapsed="false">
      <c r="A5" s="16" t="s">
        <v>325</v>
      </c>
      <c r="B5" s="15" t="s">
        <v>332</v>
      </c>
      <c r="C5" s="15" t="s">
        <v>333</v>
      </c>
      <c r="D5" s="16" t="s">
        <v>334</v>
      </c>
    </row>
    <row r="6" customFormat="false" ht="15" hidden="false" customHeight="false" outlineLevel="0" collapsed="false">
      <c r="A6" s="15" t="s">
        <v>335</v>
      </c>
      <c r="B6" s="15" t="s">
        <v>336</v>
      </c>
      <c r="C6" s="15" t="s">
        <v>337</v>
      </c>
      <c r="D6" s="16" t="s">
        <v>338</v>
      </c>
    </row>
    <row r="7" customFormat="false" ht="15" hidden="false" customHeight="false" outlineLevel="0" collapsed="false">
      <c r="A7" s="15" t="s">
        <v>335</v>
      </c>
      <c r="B7" s="15" t="s">
        <v>339</v>
      </c>
      <c r="C7" s="16" t="s">
        <v>340</v>
      </c>
      <c r="D7" s="16" t="s">
        <v>341</v>
      </c>
    </row>
    <row r="8" customFormat="false" ht="15" hidden="false" customHeight="false" outlineLevel="0" collapsed="false">
      <c r="A8" s="15" t="s">
        <v>342</v>
      </c>
      <c r="B8" s="15" t="s">
        <v>343</v>
      </c>
      <c r="C8" s="15" t="s">
        <v>344</v>
      </c>
      <c r="D8" s="16" t="s">
        <v>345</v>
      </c>
    </row>
    <row r="9" customFormat="false" ht="15" hidden="false" customHeight="false" outlineLevel="0" collapsed="false">
      <c r="A9" s="15" t="s">
        <v>342</v>
      </c>
      <c r="B9" s="15" t="s">
        <v>346</v>
      </c>
      <c r="C9" s="15" t="s">
        <v>344</v>
      </c>
      <c r="D9" s="16" t="s">
        <v>347</v>
      </c>
    </row>
    <row r="10" customFormat="false" ht="15" hidden="false" customHeight="false" outlineLevel="0" collapsed="false">
      <c r="A10" s="15" t="s">
        <v>342</v>
      </c>
      <c r="B10" s="15" t="s">
        <v>348</v>
      </c>
      <c r="C10" s="15" t="s">
        <v>349</v>
      </c>
      <c r="D10" s="16" t="s">
        <v>350</v>
      </c>
    </row>
    <row r="11" customFormat="false" ht="15" hidden="false" customHeight="false" outlineLevel="0" collapsed="false">
      <c r="A11" s="15" t="s">
        <v>351</v>
      </c>
      <c r="B11" s="15" t="s">
        <v>352</v>
      </c>
      <c r="C11" s="16" t="s">
        <v>353</v>
      </c>
      <c r="D11" s="16" t="s">
        <v>354</v>
      </c>
    </row>
    <row r="12" customFormat="false" ht="15" hidden="false" customHeight="false" outlineLevel="0" collapsed="false">
      <c r="A12" s="15" t="s">
        <v>351</v>
      </c>
      <c r="B12" s="15" t="s">
        <v>355</v>
      </c>
      <c r="C12" s="15" t="s">
        <v>356</v>
      </c>
      <c r="D12" s="16" t="s">
        <v>357</v>
      </c>
    </row>
    <row r="13" customFormat="false" ht="15" hidden="false" customHeight="false" outlineLevel="0" collapsed="false">
      <c r="A13" s="15" t="s">
        <v>351</v>
      </c>
      <c r="B13" s="15" t="s">
        <v>358</v>
      </c>
      <c r="C13" s="16" t="s">
        <v>359</v>
      </c>
      <c r="D13" s="16" t="s">
        <v>199</v>
      </c>
    </row>
    <row r="14" customFormat="false" ht="15" hidden="false" customHeight="false" outlineLevel="0" collapsed="false">
      <c r="A14" s="15" t="s">
        <v>351</v>
      </c>
      <c r="B14" s="15" t="s">
        <v>360</v>
      </c>
      <c r="C14" s="15" t="s">
        <v>361</v>
      </c>
      <c r="D14" s="16" t="s">
        <v>362</v>
      </c>
    </row>
    <row r="15" customFormat="false" ht="15" hidden="false" customHeight="false" outlineLevel="0" collapsed="false">
      <c r="A15" s="15" t="s">
        <v>351</v>
      </c>
      <c r="B15" s="15" t="s">
        <v>363</v>
      </c>
      <c r="C15" s="15" t="s">
        <v>364</v>
      </c>
      <c r="D15" s="16" t="s">
        <v>365</v>
      </c>
    </row>
    <row r="16" customFormat="false" ht="15" hidden="false" customHeight="false" outlineLevel="0" collapsed="false">
      <c r="A16" s="15" t="s">
        <v>351</v>
      </c>
      <c r="B16" s="15" t="s">
        <v>366</v>
      </c>
      <c r="C16" s="16" t="s">
        <v>367</v>
      </c>
      <c r="D16" s="16" t="s">
        <v>368</v>
      </c>
    </row>
    <row r="17" customFormat="false" ht="15" hidden="false" customHeight="false" outlineLevel="0" collapsed="false">
      <c r="A17" s="15" t="s">
        <v>351</v>
      </c>
      <c r="B17" s="15" t="s">
        <v>369</v>
      </c>
      <c r="C17" s="16" t="s">
        <v>353</v>
      </c>
      <c r="D17" s="16" t="s">
        <v>370</v>
      </c>
    </row>
    <row r="18" customFormat="false" ht="15" hidden="false" customHeight="false" outlineLevel="0" collapsed="false">
      <c r="A18" s="15" t="s">
        <v>351</v>
      </c>
      <c r="B18" s="15" t="s">
        <v>371</v>
      </c>
      <c r="C18" s="16" t="s">
        <v>372</v>
      </c>
      <c r="D18" s="16" t="s">
        <v>373</v>
      </c>
    </row>
    <row r="19" customFormat="false" ht="15" hidden="false" customHeight="false" outlineLevel="0" collapsed="false">
      <c r="A19" s="15" t="s">
        <v>351</v>
      </c>
      <c r="B19" s="15" t="s">
        <v>374</v>
      </c>
      <c r="C19" s="16" t="s">
        <v>375</v>
      </c>
      <c r="D19" s="16" t="s">
        <v>376</v>
      </c>
    </row>
    <row r="20" customFormat="false" ht="15" hidden="false" customHeight="false" outlineLevel="0" collapsed="false">
      <c r="A20" s="15" t="s">
        <v>351</v>
      </c>
      <c r="B20" s="15" t="s">
        <v>377</v>
      </c>
      <c r="C20" s="15" t="s">
        <v>378</v>
      </c>
      <c r="D20" s="16" t="s">
        <v>379</v>
      </c>
    </row>
    <row r="21" customFormat="false" ht="15" hidden="false" customHeight="false" outlineLevel="0" collapsed="false">
      <c r="A21" s="15" t="s">
        <v>351</v>
      </c>
      <c r="B21" s="15" t="s">
        <v>380</v>
      </c>
      <c r="C21" s="15" t="s">
        <v>381</v>
      </c>
      <c r="D21" s="16" t="s">
        <v>382</v>
      </c>
    </row>
    <row r="22" customFormat="false" ht="15" hidden="false" customHeight="false" outlineLevel="0" collapsed="false">
      <c r="A22" s="15" t="s">
        <v>351</v>
      </c>
      <c r="B22" s="15" t="s">
        <v>383</v>
      </c>
      <c r="C22" s="15" t="s">
        <v>384</v>
      </c>
      <c r="D22" s="16" t="s">
        <v>385</v>
      </c>
    </row>
    <row r="23" customFormat="false" ht="15" hidden="false" customHeight="false" outlineLevel="0" collapsed="false">
      <c r="A23" s="16" t="s">
        <v>386</v>
      </c>
      <c r="B23" s="15" t="s">
        <v>349</v>
      </c>
      <c r="C23" s="15" t="s">
        <v>387</v>
      </c>
      <c r="D23" s="16" t="s">
        <v>388</v>
      </c>
    </row>
    <row r="24" customFormat="false" ht="15" hidden="false" customHeight="false" outlineLevel="0" collapsed="false">
      <c r="A24" s="16" t="s">
        <v>386</v>
      </c>
      <c r="B24" s="15" t="s">
        <v>389</v>
      </c>
      <c r="C24" s="15" t="s">
        <v>390</v>
      </c>
      <c r="D24" s="16" t="s">
        <v>391</v>
      </c>
    </row>
    <row r="25" customFormat="false" ht="15" hidden="false" customHeight="false" outlineLevel="0" collapsed="false">
      <c r="A25" s="16" t="s">
        <v>386</v>
      </c>
      <c r="B25" s="15" t="s">
        <v>392</v>
      </c>
      <c r="C25" s="15" t="s">
        <v>393</v>
      </c>
      <c r="D25" s="16" t="s">
        <v>394</v>
      </c>
    </row>
    <row r="26" customFormat="false" ht="23.85" hidden="false" customHeight="false" outlineLevel="0" collapsed="false">
      <c r="A26" s="16" t="s">
        <v>386</v>
      </c>
      <c r="B26" s="15" t="s">
        <v>395</v>
      </c>
      <c r="C26" s="15" t="s">
        <v>396</v>
      </c>
      <c r="D26" s="16" t="s">
        <v>397</v>
      </c>
    </row>
    <row r="27" customFormat="false" ht="15" hidden="false" customHeight="false" outlineLevel="0" collapsed="false">
      <c r="A27" s="16" t="s">
        <v>386</v>
      </c>
      <c r="B27" s="15" t="s">
        <v>398</v>
      </c>
      <c r="C27" s="15" t="s">
        <v>399</v>
      </c>
      <c r="D27" s="16" t="s">
        <v>400</v>
      </c>
    </row>
    <row r="28" customFormat="false" ht="15" hidden="false" customHeight="false" outlineLevel="0" collapsed="false">
      <c r="A28" s="16" t="s">
        <v>386</v>
      </c>
      <c r="B28" s="15" t="s">
        <v>401</v>
      </c>
      <c r="C28" s="15" t="s">
        <v>402</v>
      </c>
      <c r="D28" s="16" t="s">
        <v>403</v>
      </c>
    </row>
  </sheetData>
  <autoFilter ref="A1:D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34"/>
    <col collapsed="false" customWidth="true" hidden="false" outlineLevel="0" max="6" min="6" style="0" width="36"/>
    <col collapsed="false" customWidth="true" hidden="false" outlineLevel="0" max="7" min="7" style="0" width="8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21" t="s">
        <v>404</v>
      </c>
      <c r="B1" s="14" t="s">
        <v>405</v>
      </c>
      <c r="C1" s="14" t="s">
        <v>406</v>
      </c>
      <c r="D1" s="14" t="s">
        <v>407</v>
      </c>
      <c r="E1" s="14" t="s">
        <v>408</v>
      </c>
      <c r="F1" s="14" t="s">
        <v>409</v>
      </c>
      <c r="G1" s="14" t="s">
        <v>410</v>
      </c>
      <c r="H1" s="14" t="s">
        <v>411</v>
      </c>
    </row>
    <row r="2" customFormat="false" ht="29.85" hidden="false" customHeight="false" outlineLevel="0" collapsed="false">
      <c r="A2" s="15" t="s">
        <v>412</v>
      </c>
      <c r="B2" s="15" t="s">
        <v>413</v>
      </c>
      <c r="C2" s="15" t="s">
        <v>414</v>
      </c>
      <c r="D2" s="16" t="s">
        <v>415</v>
      </c>
      <c r="E2" s="15" t="s">
        <v>416</v>
      </c>
      <c r="F2" s="16" t="s">
        <v>417</v>
      </c>
      <c r="G2" s="16" t="s">
        <v>418</v>
      </c>
      <c r="H2" s="16" t="s">
        <v>419</v>
      </c>
    </row>
    <row r="3" customFormat="false" ht="29.85" hidden="false" customHeight="false" outlineLevel="0" collapsed="false">
      <c r="A3" s="15" t="s">
        <v>420</v>
      </c>
      <c r="B3" s="15" t="s">
        <v>413</v>
      </c>
      <c r="C3" s="15" t="s">
        <v>414</v>
      </c>
      <c r="D3" s="15" t="s">
        <v>421</v>
      </c>
      <c r="E3" s="15" t="s">
        <v>422</v>
      </c>
      <c r="F3" s="15" t="s">
        <v>423</v>
      </c>
      <c r="G3" s="16" t="s">
        <v>418</v>
      </c>
      <c r="H3" s="16" t="s">
        <v>424</v>
      </c>
    </row>
    <row r="4" customFormat="false" ht="29.85" hidden="false" customHeight="false" outlineLevel="0" collapsed="false">
      <c r="A4" s="15" t="s">
        <v>425</v>
      </c>
      <c r="B4" s="15" t="s">
        <v>413</v>
      </c>
      <c r="C4" s="15" t="s">
        <v>414</v>
      </c>
      <c r="D4" s="15" t="s">
        <v>426</v>
      </c>
      <c r="E4" s="15" t="s">
        <v>427</v>
      </c>
      <c r="F4" s="16" t="s">
        <v>428</v>
      </c>
      <c r="G4" s="16" t="s">
        <v>429</v>
      </c>
      <c r="H4" s="16" t="s">
        <v>430</v>
      </c>
    </row>
  </sheetData>
  <autoFilter ref="A1:H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2026-10-01T03:41:08Z</dcterms:created>
  <dc:creator>openpyxl</dc:creator>
  <dc:description/>
  <dc:language>en-US</dc:language>
  <cp:lastModifiedBy/>
  <dcterms:modified xsi:type="dcterms:W3CDTF">2026-10-01T03:41:08Z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